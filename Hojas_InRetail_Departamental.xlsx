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nderacion Departamental" sheetId="1" state="visible" r:id="rId3"/>
    <sheet name="Activos Departamenta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<sst xmlns="http://schemas.openxmlformats.org/spreadsheetml/2006/main" count="286" uniqueCount="67">
  <si>
    <t xml:space="preserve">Emisor</t>
  </si>
  <si>
    <t xml:space="preserve">Business Line</t>
  </si>
  <si>
    <t xml:space="preserve">Peso</t>
  </si>
  <si>
    <t xml:space="preserve">Metodo</t>
  </si>
  <si>
    <t xml:space="preserve">Hoja_Anclaje</t>
  </si>
  <si>
    <t xml:space="preserve">Filtro_BL</t>
  </si>
  <si>
    <t xml:space="preserve">DERIVACIÓN DEL PESO POR BUSINESS LINE (revenue)  —  celdas azules = inputs editables</t>
  </si>
  <si>
    <t xml:space="preserve">InRetail</t>
  </si>
  <si>
    <t xml:space="preserve">Makro</t>
  </si>
  <si>
    <t xml:space="preserve">anclaje</t>
  </si>
  <si>
    <t xml:space="preserve">Inretail Consumer</t>
  </si>
  <si>
    <t xml:space="preserve">Plaza Vea/Vivanda</t>
  </si>
  <si>
    <t xml:space="preserve">Plaza Vea;Vivanda</t>
  </si>
  <si>
    <t xml:space="preserve">N° Veces (proxy de revenue por tienda, dentro de 'food')</t>
  </si>
  <si>
    <t xml:space="preserve">Inicio (=N°/Suma)</t>
  </si>
  <si>
    <t xml:space="preserve">Mass</t>
  </si>
  <si>
    <t xml:space="preserve">poblacion</t>
  </si>
  <si>
    <t xml:space="preserve">Pharmacies</t>
  </si>
  <si>
    <t xml:space="preserve">Shopping Malls</t>
  </si>
  <si>
    <t xml:space="preserve">28. InRetail Shopping Malls</t>
  </si>
  <si>
    <t xml:space="preserve">*</t>
  </si>
  <si>
    <t xml:space="preserve">Suma (control)</t>
  </si>
  <si>
    <t xml:space="preserve">Suma</t>
  </si>
  <si>
    <t xml:space="preserve">LEYENDA</t>
  </si>
  <si>
    <t xml:space="preserve">Split dentro de Ex-Shopping-Malls</t>
  </si>
  <si>
    <t xml:space="preserve">• Emisor: nombre canónico de la empresa (debe existir como emisor en Valorización / EMPRESAS_HOJA).</t>
  </si>
  <si>
    <t xml:space="preserve">InRetail Consumer (food: Makro+PV+Mass)</t>
  </si>
  <si>
    <t xml:space="preserve">• Business Line: cada línea de negocio de la empresa. Los 'Peso' deben sumar 1 por Emisor.</t>
  </si>
  <si>
    <t xml:space="preserve">• Peso: participación de la línea en los revenues del emisor (fracción). Aquí sale de la derivación de la derecha (cols H–J).</t>
  </si>
  <si>
    <t xml:space="preserve">• Metodo = 'anclaje'  -&gt; las ubicaciones distritales se toman TAL CUAL de la hoja indicada en Hoja_Anclaje.</t>
  </si>
  <si>
    <t xml:space="preserve">• Metodo = 'poblacion' -&gt; el conteo departamental (hoja 'Activos Departamentales') se reparte por población distrital (INEI).</t>
  </si>
  <si>
    <t xml:space="preserve">Split de InRetail total</t>
  </si>
  <si>
    <t xml:space="preserve">• Hoja_Anclaje: nombre de la hoja distrital de donde salen las ubicaciones (solo si Metodo='anclaje').</t>
  </si>
  <si>
    <t xml:space="preserve">Ex Shopping Malls</t>
  </si>
  <si>
    <t xml:space="preserve">• Filtro_BL: qué filas tomar de esa hoja. Varios valores separados por ';'. '*' = todas las filas. (Se filtra por la col Empresa/Marca/Formato/Activo de esa hoja.)</t>
  </si>
  <si>
    <t xml:space="preserve">• Para agregar una empresa nueva: añade sus filas aquí (una por línea) y sus conteos en 'Activos Departamentales'. Cero cambios de código.</t>
  </si>
  <si>
    <t xml:space="preserve">Peso final = Inicio × Consumer/Pharma × ExMalls/Malls  (referenciado por la col C)</t>
  </si>
  <si>
    <t xml:space="preserve">Departamento</t>
  </si>
  <si>
    <t xml:space="preserve">N_Activos</t>
  </si>
  <si>
    <t xml:space="preserve">Ancash</t>
  </si>
  <si>
    <t xml:space="preserve">Apurimac</t>
  </si>
  <si>
    <t xml:space="preserve">Arequipa</t>
  </si>
  <si>
    <t xml:space="preserve">Cajamarca</t>
  </si>
  <si>
    <t xml:space="preserve">Cusco</t>
  </si>
  <si>
    <t xml:space="preserve">Huanuco</t>
  </si>
  <si>
    <t xml:space="preserve">Ica</t>
  </si>
  <si>
    <t xml:space="preserve">Junin</t>
  </si>
  <si>
    <t xml:space="preserve">La Libertad</t>
  </si>
  <si>
    <t xml:space="preserve">Lambayeque</t>
  </si>
  <si>
    <t xml:space="preserve">Lima</t>
  </si>
  <si>
    <t xml:space="preserve">Madre de Dios</t>
  </si>
  <si>
    <t xml:space="preserve">Piura</t>
  </si>
  <si>
    <t xml:space="preserve">Tumbes</t>
  </si>
  <si>
    <t xml:space="preserve">Ayacucho</t>
  </si>
  <si>
    <t xml:space="preserve">Puno</t>
  </si>
  <si>
    <t xml:space="preserve">San Martin</t>
  </si>
  <si>
    <t xml:space="preserve">Tacna</t>
  </si>
  <si>
    <t xml:space="preserve">Ucayali</t>
  </si>
  <si>
    <t xml:space="preserve">Amazonas</t>
  </si>
  <si>
    <t xml:space="preserve">Huancavelica</t>
  </si>
  <si>
    <t xml:space="preserve">Loreto</t>
  </si>
  <si>
    <t xml:space="preserve">Moquegua</t>
  </si>
  <si>
    <t xml:space="preserve">Pasco</t>
  </si>
  <si>
    <t xml:space="preserve">Fuente: InRetail — earnings call / presentación corporativa (conteo de activos físicos por departamento).</t>
  </si>
  <si>
    <t xml:space="preserve">Nota: el pipeline SOLO usa las filas cuyo Business Line tiene Metodo='poblacion' (Mass y Pharmacies).</t>
  </si>
  <si>
    <t xml:space="preserve">Las filas de Makro / Plaza Vea-Vivanda / Shopping Malls quedan informativas: sus distritos reales salen de las hojas de anclaje.</t>
  </si>
  <si>
    <t xml:space="preserve">Callao va incluido dentro del departamento 'Lima' para el reparto poblacional de Mass y Pharmacies.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</si>
</sst>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00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1E2E6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7E808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E6E"/>
        <bgColor rgb="FF333399"/>
      </patternFill>
    </fill>
    <fill>
      <patternFill patternType="solid">
        <fgColor rgb="FFFFF3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E808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E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8" style="0" width="42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4" t="n">
        <f aca="false">$J$4*$I$10*$I$15</f>
        <v>0.36375</v>
      </c>
      <c r="D2" s="3" t="s">
        <v>9</v>
      </c>
      <c r="E2" s="3" t="s">
        <v>10</v>
      </c>
      <c r="F2" s="3" t="s">
        <v>8</v>
      </c>
    </row>
    <row r="3" customFormat="false" ht="15" hidden="false" customHeight="false" outlineLevel="0" collapsed="false">
      <c r="A3" s="3" t="s">
        <v>7</v>
      </c>
      <c r="B3" s="3" t="s">
        <v>11</v>
      </c>
      <c r="C3" s="4" t="n">
        <f aca="false">$J$5*$I$10*$I$15</f>
        <v>0.181875</v>
      </c>
      <c r="D3" s="3" t="s">
        <v>9</v>
      </c>
      <c r="E3" s="3" t="s">
        <v>10</v>
      </c>
      <c r="F3" s="3" t="s">
        <v>12</v>
      </c>
      <c r="H3" s="5" t="s">
        <v>13</v>
      </c>
      <c r="J3" s="5" t="s">
        <v>14</v>
      </c>
    </row>
    <row r="4" customFormat="false" ht="15" hidden="false" customHeight="false" outlineLevel="0" collapsed="false">
      <c r="A4" s="3" t="s">
        <v>7</v>
      </c>
      <c r="B4" s="3" t="s">
        <v>15</v>
      </c>
      <c r="C4" s="4" t="n">
        <f aca="false">$J$6*$I$10*$I$15</f>
        <v>0.036375</v>
      </c>
      <c r="D4" s="3" t="s">
        <v>16</v>
      </c>
      <c r="E4" s="3"/>
      <c r="F4" s="3"/>
      <c r="H4" s="6" t="s">
        <v>8</v>
      </c>
      <c r="I4" s="7" t="n">
        <v>10</v>
      </c>
      <c r="J4" s="8" t="n">
        <f aca="false">I4/$I$7</f>
        <v>0.625</v>
      </c>
    </row>
    <row r="5" customFormat="false" ht="15" hidden="false" customHeight="false" outlineLevel="0" collapsed="false">
      <c r="A5" s="3" t="s">
        <v>7</v>
      </c>
      <c r="B5" s="3" t="s">
        <v>17</v>
      </c>
      <c r="C5" s="4" t="n">
        <f aca="false">$I$11*$I$15</f>
        <v>0.388</v>
      </c>
      <c r="D5" s="3" t="s">
        <v>16</v>
      </c>
      <c r="E5" s="3"/>
      <c r="F5" s="3"/>
      <c r="H5" s="6" t="s">
        <v>11</v>
      </c>
      <c r="I5" s="7" t="n">
        <v>5</v>
      </c>
      <c r="J5" s="8" t="n">
        <f aca="false">I5/$I$7</f>
        <v>0.3125</v>
      </c>
    </row>
    <row r="6" customFormat="false" ht="15" hidden="false" customHeight="false" outlineLevel="0" collapsed="false">
      <c r="A6" s="3" t="s">
        <v>7</v>
      </c>
      <c r="B6" s="3" t="s">
        <v>18</v>
      </c>
      <c r="C6" s="4" t="n">
        <f aca="false">$I$16</f>
        <v>0.03</v>
      </c>
      <c r="D6" s="3" t="s">
        <v>9</v>
      </c>
      <c r="E6" s="3" t="s">
        <v>19</v>
      </c>
      <c r="F6" s="3" t="s">
        <v>20</v>
      </c>
      <c r="H6" s="6" t="s">
        <v>15</v>
      </c>
      <c r="I6" s="7" t="n">
        <v>1</v>
      </c>
      <c r="J6" s="8" t="n">
        <f aca="false">I6/$I$7</f>
        <v>0.0625</v>
      </c>
    </row>
    <row r="7" customFormat="false" ht="15" hidden="false" customHeight="false" outlineLevel="0" collapsed="false">
      <c r="B7" s="9" t="s">
        <v>21</v>
      </c>
      <c r="C7" s="10" t="n">
        <f aca="false">SUM(C2:C6)</f>
        <v>1</v>
      </c>
      <c r="H7" s="11" t="s">
        <v>22</v>
      </c>
      <c r="I7" s="6" t="n">
        <f aca="false">SUM(I4:I6)</f>
        <v>16</v>
      </c>
    </row>
    <row r="9" customFormat="false" ht="15" hidden="false" customHeight="false" outlineLevel="0" collapsed="false">
      <c r="A9" s="2" t="s">
        <v>23</v>
      </c>
      <c r="H9" s="5" t="s">
        <v>24</v>
      </c>
    </row>
    <row r="10" customFormat="false" ht="15" hidden="false" customHeight="false" outlineLevel="0" collapsed="false">
      <c r="A10" s="12" t="s">
        <v>25</v>
      </c>
      <c r="H10" s="6" t="s">
        <v>26</v>
      </c>
      <c r="I10" s="13" t="n">
        <v>0.6</v>
      </c>
    </row>
    <row r="11" customFormat="false" ht="15" hidden="false" customHeight="false" outlineLevel="0" collapsed="false">
      <c r="A11" s="12" t="s">
        <v>27</v>
      </c>
      <c r="H11" s="6" t="s">
        <v>17</v>
      </c>
      <c r="I11" s="13" t="n">
        <v>0.4</v>
      </c>
    </row>
    <row r="12" customFormat="false" ht="15" hidden="false" customHeight="false" outlineLevel="0" collapsed="false">
      <c r="A12" s="12" t="s">
        <v>28</v>
      </c>
      <c r="H12" s="11" t="s">
        <v>22</v>
      </c>
      <c r="I12" s="6" t="n">
        <f aca="false">I10+I11</f>
        <v>1</v>
      </c>
    </row>
    <row r="13" customFormat="false" ht="15" hidden="false" customHeight="false" outlineLevel="0" collapsed="false">
      <c r="A13" s="12" t="s">
        <v>29</v>
      </c>
    </row>
    <row r="14" customFormat="false" ht="15" hidden="false" customHeight="false" outlineLevel="0" collapsed="false">
      <c r="A14" s="12" t="s">
        <v>30</v>
      </c>
      <c r="H14" s="5" t="s">
        <v>31</v>
      </c>
    </row>
    <row r="15" customFormat="false" ht="15" hidden="false" customHeight="false" outlineLevel="0" collapsed="false">
      <c r="A15" s="12" t="s">
        <v>32</v>
      </c>
      <c r="H15" s="6" t="s">
        <v>33</v>
      </c>
      <c r="I15" s="13" t="n">
        <v>0.97</v>
      </c>
    </row>
    <row r="16" customFormat="false" ht="15" hidden="false" customHeight="false" outlineLevel="0" collapsed="false">
      <c r="A16" s="12" t="s">
        <v>34</v>
      </c>
      <c r="H16" s="6" t="s">
        <v>18</v>
      </c>
      <c r="I16" s="13" t="n">
        <v>0.03</v>
      </c>
    </row>
    <row r="17" customFormat="false" ht="15" hidden="false" customHeight="false" outlineLevel="0" collapsed="false">
      <c r="A17" s="12" t="s">
        <v>35</v>
      </c>
      <c r="H17" s="11" t="s">
        <v>22</v>
      </c>
      <c r="I17" s="6" t="n">
        <f aca="false">I15+I16</f>
        <v>1</v>
      </c>
    </row>
    <row r="19" customFormat="false" ht="15" hidden="false" customHeight="false" outlineLevel="0" collapsed="false">
      <c r="H19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37</v>
      </c>
      <c r="C1" s="1" t="s">
        <v>1</v>
      </c>
      <c r="D1" s="1" t="s">
        <v>38</v>
      </c>
    </row>
    <row r="2" customFormat="false" ht="15" hidden="false" customHeight="false" outlineLevel="0" collapsed="false">
      <c r="A2" s="3" t="s">
        <v>7</v>
      </c>
      <c r="B2" s="3" t="s">
        <v>39</v>
      </c>
      <c r="C2" s="3" t="s">
        <v>15</v>
      </c>
      <c r="D2" s="14" t="n">
        <v>52</v>
      </c>
    </row>
    <row r="3" customFormat="false" ht="15" hidden="false" customHeight="false" outlineLevel="0" collapsed="false">
      <c r="A3" s="3" t="s">
        <v>7</v>
      </c>
      <c r="B3" s="3" t="s">
        <v>40</v>
      </c>
      <c r="C3" s="3" t="s">
        <v>15</v>
      </c>
      <c r="D3" s="14" t="n">
        <v>3</v>
      </c>
    </row>
    <row r="4" customFormat="false" ht="15" hidden="false" customHeight="false" outlineLevel="0" collapsed="false">
      <c r="A4" s="3" t="s">
        <v>7</v>
      </c>
      <c r="B4" s="3" t="s">
        <v>41</v>
      </c>
      <c r="C4" s="3" t="s">
        <v>15</v>
      </c>
      <c r="D4" s="14" t="n">
        <v>144</v>
      </c>
    </row>
    <row r="5" customFormat="false" ht="15" hidden="false" customHeight="false" outlineLevel="0" collapsed="false">
      <c r="A5" s="3" t="s">
        <v>7</v>
      </c>
      <c r="B5" s="3" t="s">
        <v>42</v>
      </c>
      <c r="C5" s="3" t="s">
        <v>15</v>
      </c>
      <c r="D5" s="14" t="n">
        <v>72</v>
      </c>
    </row>
    <row r="6" customFormat="false" ht="15" hidden="false" customHeight="false" outlineLevel="0" collapsed="false">
      <c r="A6" s="3" t="s">
        <v>7</v>
      </c>
      <c r="B6" s="3" t="s">
        <v>43</v>
      </c>
      <c r="C6" s="3" t="s">
        <v>15</v>
      </c>
      <c r="D6" s="14" t="n">
        <v>23</v>
      </c>
    </row>
    <row r="7" customFormat="false" ht="15" hidden="false" customHeight="false" outlineLevel="0" collapsed="false">
      <c r="A7" s="3" t="s">
        <v>7</v>
      </c>
      <c r="B7" s="3" t="s">
        <v>44</v>
      </c>
      <c r="C7" s="3" t="s">
        <v>15</v>
      </c>
      <c r="D7" s="14" t="n">
        <v>4</v>
      </c>
    </row>
    <row r="8" customFormat="false" ht="15" hidden="false" customHeight="false" outlineLevel="0" collapsed="false">
      <c r="A8" s="3" t="s">
        <v>7</v>
      </c>
      <c r="B8" s="3" t="s">
        <v>45</v>
      </c>
      <c r="C8" s="3" t="s">
        <v>15</v>
      </c>
      <c r="D8" s="14" t="n">
        <v>89</v>
      </c>
    </row>
    <row r="9" customFormat="false" ht="15" hidden="false" customHeight="false" outlineLevel="0" collapsed="false">
      <c r="A9" s="3" t="s">
        <v>7</v>
      </c>
      <c r="B9" s="3" t="s">
        <v>46</v>
      </c>
      <c r="C9" s="3" t="s">
        <v>15</v>
      </c>
      <c r="D9" s="14" t="n">
        <v>69</v>
      </c>
    </row>
    <row r="10" customFormat="false" ht="15" hidden="false" customHeight="false" outlineLevel="0" collapsed="false">
      <c r="A10" s="3" t="s">
        <v>7</v>
      </c>
      <c r="B10" s="3" t="s">
        <v>47</v>
      </c>
      <c r="C10" s="3" t="s">
        <v>15</v>
      </c>
      <c r="D10" s="14" t="n">
        <v>138</v>
      </c>
    </row>
    <row r="11" customFormat="false" ht="15" hidden="false" customHeight="false" outlineLevel="0" collapsed="false">
      <c r="A11" s="3" t="s">
        <v>7</v>
      </c>
      <c r="B11" s="3" t="s">
        <v>48</v>
      </c>
      <c r="C11" s="3" t="s">
        <v>15</v>
      </c>
      <c r="D11" s="14" t="n">
        <v>124</v>
      </c>
    </row>
    <row r="12" customFormat="false" ht="15" hidden="false" customHeight="false" outlineLevel="0" collapsed="false">
      <c r="A12" s="3" t="s">
        <v>7</v>
      </c>
      <c r="B12" s="3" t="s">
        <v>49</v>
      </c>
      <c r="C12" s="3" t="s">
        <v>15</v>
      </c>
      <c r="D12" s="14" t="n">
        <v>867</v>
      </c>
    </row>
    <row r="13" customFormat="false" ht="15" hidden="false" customHeight="false" outlineLevel="0" collapsed="false">
      <c r="A13" s="3" t="s">
        <v>7</v>
      </c>
      <c r="B13" s="3" t="s">
        <v>50</v>
      </c>
      <c r="C13" s="3" t="s">
        <v>15</v>
      </c>
      <c r="D13" s="14" t="n">
        <v>2</v>
      </c>
    </row>
    <row r="14" customFormat="false" ht="15" hidden="false" customHeight="false" outlineLevel="0" collapsed="false">
      <c r="A14" s="3" t="s">
        <v>7</v>
      </c>
      <c r="B14" s="3" t="s">
        <v>51</v>
      </c>
      <c r="C14" s="3" t="s">
        <v>15</v>
      </c>
      <c r="D14" s="14" t="n">
        <v>30</v>
      </c>
    </row>
    <row r="15" customFormat="false" ht="15" hidden="false" customHeight="false" outlineLevel="0" collapsed="false">
      <c r="A15" s="3" t="s">
        <v>7</v>
      </c>
      <c r="B15" s="3" t="s">
        <v>52</v>
      </c>
      <c r="C15" s="3" t="s">
        <v>15</v>
      </c>
      <c r="D15" s="14" t="n">
        <v>7</v>
      </c>
    </row>
    <row r="16" customFormat="false" ht="15" hidden="false" customHeight="false" outlineLevel="0" collapsed="false">
      <c r="A16" s="3" t="s">
        <v>7</v>
      </c>
      <c r="B16" s="3" t="s">
        <v>39</v>
      </c>
      <c r="C16" s="3" t="s">
        <v>11</v>
      </c>
      <c r="D16" s="14" t="n">
        <v>3</v>
      </c>
    </row>
    <row r="17" customFormat="false" ht="15" hidden="false" customHeight="false" outlineLevel="0" collapsed="false">
      <c r="A17" s="3" t="s">
        <v>7</v>
      </c>
      <c r="B17" s="3" t="s">
        <v>41</v>
      </c>
      <c r="C17" s="3" t="s">
        <v>11</v>
      </c>
      <c r="D17" s="14" t="n">
        <v>2</v>
      </c>
    </row>
    <row r="18" customFormat="false" ht="15" hidden="false" customHeight="false" outlineLevel="0" collapsed="false">
      <c r="A18" s="3" t="s">
        <v>7</v>
      </c>
      <c r="B18" s="3" t="s">
        <v>53</v>
      </c>
      <c r="C18" s="3" t="s">
        <v>11</v>
      </c>
      <c r="D18" s="14" t="n">
        <v>1</v>
      </c>
    </row>
    <row r="19" customFormat="false" ht="15" hidden="false" customHeight="false" outlineLevel="0" collapsed="false">
      <c r="A19" s="3" t="s">
        <v>7</v>
      </c>
      <c r="B19" s="3" t="s">
        <v>42</v>
      </c>
      <c r="C19" s="3" t="s">
        <v>11</v>
      </c>
      <c r="D19" s="14" t="n">
        <v>2</v>
      </c>
    </row>
    <row r="20" customFormat="false" ht="15" hidden="false" customHeight="false" outlineLevel="0" collapsed="false">
      <c r="A20" s="3" t="s">
        <v>7</v>
      </c>
      <c r="B20" s="3" t="s">
        <v>43</v>
      </c>
      <c r="C20" s="3" t="s">
        <v>11</v>
      </c>
      <c r="D20" s="14" t="n">
        <v>2</v>
      </c>
    </row>
    <row r="21" customFormat="false" ht="15" hidden="false" customHeight="false" outlineLevel="0" collapsed="false">
      <c r="A21" s="3" t="s">
        <v>7</v>
      </c>
      <c r="B21" s="3" t="s">
        <v>44</v>
      </c>
      <c r="C21" s="3" t="s">
        <v>11</v>
      </c>
      <c r="D21" s="14" t="n">
        <v>1</v>
      </c>
    </row>
    <row r="22" customFormat="false" ht="15" hidden="false" customHeight="false" outlineLevel="0" collapsed="false">
      <c r="A22" s="3" t="s">
        <v>7</v>
      </c>
      <c r="B22" s="3" t="s">
        <v>45</v>
      </c>
      <c r="C22" s="3" t="s">
        <v>11</v>
      </c>
      <c r="D22" s="14" t="n">
        <v>1</v>
      </c>
    </row>
    <row r="23" customFormat="false" ht="15" hidden="false" customHeight="false" outlineLevel="0" collapsed="false">
      <c r="A23" s="3" t="s">
        <v>7</v>
      </c>
      <c r="B23" s="3" t="s">
        <v>46</v>
      </c>
      <c r="C23" s="3" t="s">
        <v>11</v>
      </c>
      <c r="D23" s="14" t="n">
        <v>2</v>
      </c>
    </row>
    <row r="24" customFormat="false" ht="15" hidden="false" customHeight="false" outlineLevel="0" collapsed="false">
      <c r="A24" s="3" t="s">
        <v>7</v>
      </c>
      <c r="B24" s="3" t="s">
        <v>47</v>
      </c>
      <c r="C24" s="3" t="s">
        <v>11</v>
      </c>
      <c r="D24" s="14" t="n">
        <v>3</v>
      </c>
    </row>
    <row r="25" customFormat="false" ht="15" hidden="false" customHeight="false" outlineLevel="0" collapsed="false">
      <c r="A25" s="3" t="s">
        <v>7</v>
      </c>
      <c r="B25" s="3" t="s">
        <v>48</v>
      </c>
      <c r="C25" s="3" t="s">
        <v>11</v>
      </c>
      <c r="D25" s="14" t="n">
        <v>2</v>
      </c>
    </row>
    <row r="26" customFormat="false" ht="15" hidden="false" customHeight="false" outlineLevel="0" collapsed="false">
      <c r="A26" s="3" t="s">
        <v>7</v>
      </c>
      <c r="B26" s="3" t="s">
        <v>49</v>
      </c>
      <c r="C26" s="3" t="s">
        <v>11</v>
      </c>
      <c r="D26" s="14" t="n">
        <v>7</v>
      </c>
    </row>
    <row r="27" customFormat="false" ht="15" hidden="false" customHeight="false" outlineLevel="0" collapsed="false">
      <c r="A27" s="3" t="s">
        <v>7</v>
      </c>
      <c r="B27" s="3" t="s">
        <v>51</v>
      </c>
      <c r="C27" s="3" t="s">
        <v>11</v>
      </c>
      <c r="D27" s="14" t="n">
        <v>5</v>
      </c>
    </row>
    <row r="28" customFormat="false" ht="15" hidden="false" customHeight="false" outlineLevel="0" collapsed="false">
      <c r="A28" s="3" t="s">
        <v>7</v>
      </c>
      <c r="B28" s="3" t="s">
        <v>54</v>
      </c>
      <c r="C28" s="3" t="s">
        <v>11</v>
      </c>
      <c r="D28" s="14" t="n">
        <v>1</v>
      </c>
    </row>
    <row r="29" customFormat="false" ht="15" hidden="false" customHeight="false" outlineLevel="0" collapsed="false">
      <c r="A29" s="3" t="s">
        <v>7</v>
      </c>
      <c r="B29" s="3" t="s">
        <v>55</v>
      </c>
      <c r="C29" s="3" t="s">
        <v>11</v>
      </c>
      <c r="D29" s="14" t="n">
        <v>1</v>
      </c>
    </row>
    <row r="30" customFormat="false" ht="15" hidden="false" customHeight="false" outlineLevel="0" collapsed="false">
      <c r="A30" s="3" t="s">
        <v>7</v>
      </c>
      <c r="B30" s="3" t="s">
        <v>56</v>
      </c>
      <c r="C30" s="3" t="s">
        <v>11</v>
      </c>
      <c r="D30" s="14" t="n">
        <v>1</v>
      </c>
    </row>
    <row r="31" customFormat="false" ht="15" hidden="false" customHeight="false" outlineLevel="0" collapsed="false">
      <c r="A31" s="3" t="s">
        <v>7</v>
      </c>
      <c r="B31" s="3" t="s">
        <v>52</v>
      </c>
      <c r="C31" s="3" t="s">
        <v>11</v>
      </c>
      <c r="D31" s="14" t="n">
        <v>1</v>
      </c>
    </row>
    <row r="32" customFormat="false" ht="15" hidden="false" customHeight="false" outlineLevel="0" collapsed="false">
      <c r="A32" s="3" t="s">
        <v>7</v>
      </c>
      <c r="B32" s="3" t="s">
        <v>57</v>
      </c>
      <c r="C32" s="3" t="s">
        <v>11</v>
      </c>
      <c r="D32" s="14" t="n">
        <v>2</v>
      </c>
    </row>
    <row r="33" customFormat="false" ht="15" hidden="false" customHeight="false" outlineLevel="0" collapsed="false">
      <c r="A33" s="3" t="s">
        <v>7</v>
      </c>
      <c r="B33" s="3" t="s">
        <v>41</v>
      </c>
      <c r="C33" s="3" t="s">
        <v>8</v>
      </c>
      <c r="D33" s="14" t="n">
        <v>2</v>
      </c>
    </row>
    <row r="34" customFormat="false" ht="15" hidden="false" customHeight="false" outlineLevel="0" collapsed="false">
      <c r="A34" s="3" t="s">
        <v>7</v>
      </c>
      <c r="B34" s="3" t="s">
        <v>42</v>
      </c>
      <c r="C34" s="3" t="s">
        <v>8</v>
      </c>
      <c r="D34" s="14" t="n">
        <v>2</v>
      </c>
    </row>
    <row r="35" customFormat="false" ht="15" hidden="false" customHeight="false" outlineLevel="0" collapsed="false">
      <c r="A35" s="3" t="s">
        <v>7</v>
      </c>
      <c r="B35" s="3" t="s">
        <v>43</v>
      </c>
      <c r="C35" s="3" t="s">
        <v>8</v>
      </c>
      <c r="D35" s="14" t="n">
        <v>1</v>
      </c>
    </row>
    <row r="36" customFormat="false" ht="15" hidden="false" customHeight="false" outlineLevel="0" collapsed="false">
      <c r="A36" s="3" t="s">
        <v>7</v>
      </c>
      <c r="B36" s="3" t="s">
        <v>45</v>
      </c>
      <c r="C36" s="3" t="s">
        <v>8</v>
      </c>
      <c r="D36" s="14" t="n">
        <v>3</v>
      </c>
    </row>
    <row r="37" customFormat="false" ht="15" hidden="false" customHeight="false" outlineLevel="0" collapsed="false">
      <c r="A37" s="3" t="s">
        <v>7</v>
      </c>
      <c r="B37" s="3" t="s">
        <v>46</v>
      </c>
      <c r="C37" s="3" t="s">
        <v>8</v>
      </c>
      <c r="D37" s="14" t="n">
        <v>1</v>
      </c>
    </row>
    <row r="38" customFormat="false" ht="15" hidden="false" customHeight="false" outlineLevel="0" collapsed="false">
      <c r="A38" s="3" t="s">
        <v>7</v>
      </c>
      <c r="B38" s="3" t="s">
        <v>48</v>
      </c>
      <c r="C38" s="3" t="s">
        <v>8</v>
      </c>
      <c r="D38" s="14" t="n">
        <v>1</v>
      </c>
    </row>
    <row r="39" customFormat="false" ht="15" hidden="false" customHeight="false" outlineLevel="0" collapsed="false">
      <c r="A39" s="3" t="s">
        <v>7</v>
      </c>
      <c r="B39" s="3" t="s">
        <v>49</v>
      </c>
      <c r="C39" s="3" t="s">
        <v>8</v>
      </c>
      <c r="D39" s="14" t="n">
        <v>13</v>
      </c>
    </row>
    <row r="40" customFormat="false" ht="15" hidden="false" customHeight="false" outlineLevel="0" collapsed="false">
      <c r="A40" s="3" t="s">
        <v>7</v>
      </c>
      <c r="B40" s="3" t="s">
        <v>58</v>
      </c>
      <c r="C40" s="3" t="s">
        <v>17</v>
      </c>
      <c r="D40" s="14" t="n">
        <v>59</v>
      </c>
    </row>
    <row r="41" customFormat="false" ht="15" hidden="false" customHeight="false" outlineLevel="0" collapsed="false">
      <c r="A41" s="3" t="s">
        <v>7</v>
      </c>
      <c r="B41" s="3" t="s">
        <v>39</v>
      </c>
      <c r="C41" s="3" t="s">
        <v>17</v>
      </c>
      <c r="D41" s="14" t="n">
        <v>79</v>
      </c>
    </row>
    <row r="42" customFormat="false" ht="15" hidden="false" customHeight="false" outlineLevel="0" collapsed="false">
      <c r="A42" s="3" t="s">
        <v>7</v>
      </c>
      <c r="B42" s="3" t="s">
        <v>40</v>
      </c>
      <c r="C42" s="3" t="s">
        <v>17</v>
      </c>
      <c r="D42" s="14" t="n">
        <v>15</v>
      </c>
    </row>
    <row r="43" customFormat="false" ht="15" hidden="false" customHeight="false" outlineLevel="0" collapsed="false">
      <c r="A43" s="3" t="s">
        <v>7</v>
      </c>
      <c r="B43" s="3" t="s">
        <v>41</v>
      </c>
      <c r="C43" s="3" t="s">
        <v>17</v>
      </c>
      <c r="D43" s="14" t="n">
        <v>95</v>
      </c>
    </row>
    <row r="44" customFormat="false" ht="15" hidden="false" customHeight="false" outlineLevel="0" collapsed="false">
      <c r="A44" s="3" t="s">
        <v>7</v>
      </c>
      <c r="B44" s="3" t="s">
        <v>53</v>
      </c>
      <c r="C44" s="3" t="s">
        <v>17</v>
      </c>
      <c r="D44" s="14" t="n">
        <v>26</v>
      </c>
    </row>
    <row r="45" customFormat="false" ht="15" hidden="false" customHeight="false" outlineLevel="0" collapsed="false">
      <c r="A45" s="3" t="s">
        <v>7</v>
      </c>
      <c r="B45" s="3" t="s">
        <v>42</v>
      </c>
      <c r="C45" s="3" t="s">
        <v>17</v>
      </c>
      <c r="D45" s="14" t="n">
        <v>13</v>
      </c>
    </row>
    <row r="46" customFormat="false" ht="15" hidden="false" customHeight="false" outlineLevel="0" collapsed="false">
      <c r="A46" s="3" t="s">
        <v>7</v>
      </c>
      <c r="B46" s="3" t="s">
        <v>43</v>
      </c>
      <c r="C46" s="3" t="s">
        <v>17</v>
      </c>
      <c r="D46" s="14" t="n">
        <v>147</v>
      </c>
    </row>
    <row r="47" customFormat="false" ht="15" hidden="false" customHeight="false" outlineLevel="0" collapsed="false">
      <c r="A47" s="3" t="s">
        <v>7</v>
      </c>
      <c r="B47" s="3" t="s">
        <v>59</v>
      </c>
      <c r="C47" s="3" t="s">
        <v>17</v>
      </c>
      <c r="D47" s="14" t="n">
        <v>6</v>
      </c>
    </row>
    <row r="48" customFormat="false" ht="15" hidden="false" customHeight="false" outlineLevel="0" collapsed="false">
      <c r="A48" s="3" t="s">
        <v>7</v>
      </c>
      <c r="B48" s="3" t="s">
        <v>44</v>
      </c>
      <c r="C48" s="3" t="s">
        <v>17</v>
      </c>
      <c r="D48" s="14" t="n">
        <v>75</v>
      </c>
    </row>
    <row r="49" customFormat="false" ht="15" hidden="false" customHeight="false" outlineLevel="0" collapsed="false">
      <c r="A49" s="3" t="s">
        <v>7</v>
      </c>
      <c r="B49" s="3" t="s">
        <v>45</v>
      </c>
      <c r="C49" s="3" t="s">
        <v>17</v>
      </c>
      <c r="D49" s="14" t="n">
        <v>95</v>
      </c>
    </row>
    <row r="50" customFormat="false" ht="15" hidden="false" customHeight="false" outlineLevel="0" collapsed="false">
      <c r="A50" s="3" t="s">
        <v>7</v>
      </c>
      <c r="B50" s="3" t="s">
        <v>46</v>
      </c>
      <c r="C50" s="3" t="s">
        <v>17</v>
      </c>
      <c r="D50" s="14" t="n">
        <v>89</v>
      </c>
    </row>
    <row r="51" customFormat="false" ht="15" hidden="false" customHeight="false" outlineLevel="0" collapsed="false">
      <c r="A51" s="3" t="s">
        <v>7</v>
      </c>
      <c r="B51" s="3" t="s">
        <v>47</v>
      </c>
      <c r="C51" s="3" t="s">
        <v>17</v>
      </c>
      <c r="D51" s="14" t="n">
        <v>157</v>
      </c>
    </row>
    <row r="52" customFormat="false" ht="15" hidden="false" customHeight="false" outlineLevel="0" collapsed="false">
      <c r="A52" s="3" t="s">
        <v>7</v>
      </c>
      <c r="B52" s="3" t="s">
        <v>48</v>
      </c>
      <c r="C52" s="3" t="s">
        <v>17</v>
      </c>
      <c r="D52" s="14" t="n">
        <v>108</v>
      </c>
    </row>
    <row r="53" customFormat="false" ht="15" hidden="false" customHeight="false" outlineLevel="0" collapsed="false">
      <c r="A53" s="3" t="s">
        <v>7</v>
      </c>
      <c r="B53" s="3" t="s">
        <v>49</v>
      </c>
      <c r="C53" s="3" t="s">
        <v>17</v>
      </c>
      <c r="D53" s="14" t="n">
        <v>1209</v>
      </c>
    </row>
    <row r="54" customFormat="false" ht="15" hidden="false" customHeight="false" outlineLevel="0" collapsed="false">
      <c r="A54" s="3" t="s">
        <v>7</v>
      </c>
      <c r="B54" s="3" t="s">
        <v>60</v>
      </c>
      <c r="C54" s="3" t="s">
        <v>17</v>
      </c>
      <c r="D54" s="14" t="n">
        <v>59</v>
      </c>
    </row>
    <row r="55" customFormat="false" ht="15" hidden="false" customHeight="false" outlineLevel="0" collapsed="false">
      <c r="A55" s="3" t="s">
        <v>7</v>
      </c>
      <c r="B55" s="3" t="s">
        <v>50</v>
      </c>
      <c r="C55" s="3" t="s">
        <v>17</v>
      </c>
      <c r="D55" s="14" t="n">
        <v>34</v>
      </c>
    </row>
    <row r="56" customFormat="false" ht="15" hidden="false" customHeight="false" outlineLevel="0" collapsed="false">
      <c r="A56" s="3" t="s">
        <v>7</v>
      </c>
      <c r="B56" s="3" t="s">
        <v>61</v>
      </c>
      <c r="C56" s="3" t="s">
        <v>17</v>
      </c>
      <c r="D56" s="14" t="n">
        <v>4</v>
      </c>
    </row>
    <row r="57" customFormat="false" ht="15" hidden="false" customHeight="false" outlineLevel="0" collapsed="false">
      <c r="A57" s="3" t="s">
        <v>7</v>
      </c>
      <c r="B57" s="3" t="s">
        <v>62</v>
      </c>
      <c r="C57" s="3" t="s">
        <v>17</v>
      </c>
      <c r="D57" s="14" t="n">
        <v>38</v>
      </c>
    </row>
    <row r="58" customFormat="false" ht="15" hidden="false" customHeight="false" outlineLevel="0" collapsed="false">
      <c r="A58" s="3" t="s">
        <v>7</v>
      </c>
      <c r="B58" s="3" t="s">
        <v>51</v>
      </c>
      <c r="C58" s="3" t="s">
        <v>17</v>
      </c>
      <c r="D58" s="14" t="n">
        <v>127</v>
      </c>
    </row>
    <row r="59" customFormat="false" ht="15" hidden="false" customHeight="false" outlineLevel="0" collapsed="false">
      <c r="A59" s="3" t="s">
        <v>7</v>
      </c>
      <c r="B59" s="3" t="s">
        <v>54</v>
      </c>
      <c r="C59" s="3" t="s">
        <v>17</v>
      </c>
      <c r="D59" s="14" t="n">
        <v>14</v>
      </c>
    </row>
    <row r="60" customFormat="false" ht="15" hidden="false" customHeight="false" outlineLevel="0" collapsed="false">
      <c r="A60" s="3" t="s">
        <v>7</v>
      </c>
      <c r="B60" s="3" t="s">
        <v>55</v>
      </c>
      <c r="C60" s="3" t="s">
        <v>17</v>
      </c>
      <c r="D60" s="14" t="n">
        <v>67</v>
      </c>
    </row>
    <row r="61" customFormat="false" ht="15" hidden="false" customHeight="false" outlineLevel="0" collapsed="false">
      <c r="A61" s="3" t="s">
        <v>7</v>
      </c>
      <c r="B61" s="3" t="s">
        <v>56</v>
      </c>
      <c r="C61" s="3" t="s">
        <v>17</v>
      </c>
      <c r="D61" s="14" t="n">
        <v>31</v>
      </c>
    </row>
    <row r="62" customFormat="false" ht="15" hidden="false" customHeight="false" outlineLevel="0" collapsed="false">
      <c r="A62" s="3" t="s">
        <v>7</v>
      </c>
      <c r="B62" s="3" t="s">
        <v>52</v>
      </c>
      <c r="C62" s="3" t="s">
        <v>17</v>
      </c>
      <c r="D62" s="14" t="n">
        <v>19</v>
      </c>
    </row>
    <row r="63" customFormat="false" ht="15" hidden="false" customHeight="false" outlineLevel="0" collapsed="false">
      <c r="A63" s="3" t="s">
        <v>7</v>
      </c>
      <c r="B63" s="3" t="s">
        <v>57</v>
      </c>
      <c r="C63" s="3" t="s">
        <v>17</v>
      </c>
      <c r="D63" s="14" t="n">
        <v>29</v>
      </c>
    </row>
    <row r="64" customFormat="false" ht="15" hidden="false" customHeight="false" outlineLevel="0" collapsed="false">
      <c r="A64" s="3" t="s">
        <v>7</v>
      </c>
      <c r="B64" s="3" t="s">
        <v>39</v>
      </c>
      <c r="C64" s="3" t="s">
        <v>18</v>
      </c>
      <c r="D64" s="14" t="n">
        <v>1</v>
      </c>
    </row>
    <row r="65" customFormat="false" ht="15" hidden="false" customHeight="false" outlineLevel="0" collapsed="false">
      <c r="A65" s="3" t="s">
        <v>7</v>
      </c>
      <c r="B65" s="3" t="s">
        <v>41</v>
      </c>
      <c r="C65" s="3" t="s">
        <v>18</v>
      </c>
      <c r="D65" s="14" t="n">
        <v>1</v>
      </c>
    </row>
    <row r="66" customFormat="false" ht="15" hidden="false" customHeight="false" outlineLevel="0" collapsed="false">
      <c r="A66" s="3" t="s">
        <v>7</v>
      </c>
      <c r="B66" s="3" t="s">
        <v>42</v>
      </c>
      <c r="C66" s="3" t="s">
        <v>18</v>
      </c>
      <c r="D66" s="14" t="n">
        <v>1</v>
      </c>
    </row>
    <row r="67" customFormat="false" ht="15" hidden="false" customHeight="false" outlineLevel="0" collapsed="false">
      <c r="A67" s="3" t="s">
        <v>7</v>
      </c>
      <c r="B67" s="3" t="s">
        <v>43</v>
      </c>
      <c r="C67" s="3" t="s">
        <v>18</v>
      </c>
      <c r="D67" s="14" t="n">
        <v>1</v>
      </c>
    </row>
    <row r="68" customFormat="false" ht="15" hidden="false" customHeight="false" outlineLevel="0" collapsed="false">
      <c r="A68" s="3" t="s">
        <v>7</v>
      </c>
      <c r="B68" s="3" t="s">
        <v>44</v>
      </c>
      <c r="C68" s="3" t="s">
        <v>18</v>
      </c>
      <c r="D68" s="14" t="n">
        <v>1</v>
      </c>
    </row>
    <row r="69" customFormat="false" ht="15" hidden="false" customHeight="false" outlineLevel="0" collapsed="false">
      <c r="A69" s="3" t="s">
        <v>7</v>
      </c>
      <c r="B69" s="3" t="s">
        <v>46</v>
      </c>
      <c r="C69" s="3" t="s">
        <v>18</v>
      </c>
      <c r="D69" s="14" t="n">
        <v>1</v>
      </c>
    </row>
    <row r="70" customFormat="false" ht="15" hidden="false" customHeight="false" outlineLevel="0" collapsed="false">
      <c r="A70" s="3" t="s">
        <v>7</v>
      </c>
      <c r="B70" s="3" t="s">
        <v>47</v>
      </c>
      <c r="C70" s="3" t="s">
        <v>18</v>
      </c>
      <c r="D70" s="14" t="n">
        <v>1</v>
      </c>
    </row>
    <row r="71" customFormat="false" ht="15" hidden="false" customHeight="false" outlineLevel="0" collapsed="false">
      <c r="A71" s="3" t="s">
        <v>7</v>
      </c>
      <c r="B71" s="3" t="s">
        <v>48</v>
      </c>
      <c r="C71" s="3" t="s">
        <v>18</v>
      </c>
      <c r="D71" s="14" t="n">
        <v>1</v>
      </c>
    </row>
    <row r="72" customFormat="false" ht="15" hidden="false" customHeight="false" outlineLevel="0" collapsed="false">
      <c r="A72" s="3" t="s">
        <v>7</v>
      </c>
      <c r="B72" s="3" t="s">
        <v>49</v>
      </c>
      <c r="C72" s="3" t="s">
        <v>18</v>
      </c>
      <c r="D72" s="14" t="n">
        <v>10</v>
      </c>
    </row>
    <row r="73" customFormat="false" ht="15" hidden="false" customHeight="false" outlineLevel="0" collapsed="false">
      <c r="A73" s="3" t="s">
        <v>7</v>
      </c>
      <c r="B73" s="3" t="s">
        <v>51</v>
      </c>
      <c r="C73" s="3" t="s">
        <v>18</v>
      </c>
      <c r="D73" s="14" t="n">
        <v>2</v>
      </c>
    </row>
    <row r="74" customFormat="false" ht="15" hidden="false" customHeight="false" outlineLevel="0" collapsed="false">
      <c r="A74" s="3" t="s">
        <v>7</v>
      </c>
      <c r="B74" s="3" t="s">
        <v>54</v>
      </c>
      <c r="C74" s="3" t="s">
        <v>18</v>
      </c>
      <c r="D74" s="14" t="n">
        <v>1</v>
      </c>
    </row>
    <row r="75" customFormat="false" ht="15" hidden="false" customHeight="false" outlineLevel="0" collapsed="false">
      <c r="A75" s="3" t="s">
        <v>7</v>
      </c>
      <c r="B75" s="3" t="s">
        <v>55</v>
      </c>
      <c r="C75" s="3" t="s">
        <v>18</v>
      </c>
      <c r="D75" s="14" t="n">
        <v>1</v>
      </c>
    </row>
    <row r="76" customFormat="false" ht="15" hidden="false" customHeight="false" outlineLevel="0" collapsed="false">
      <c r="A76" s="3" t="s">
        <v>7</v>
      </c>
      <c r="B76" s="3" t="s">
        <v>57</v>
      </c>
      <c r="C76" s="3" t="s">
        <v>18</v>
      </c>
      <c r="D76" s="14" t="n">
        <v>1</v>
      </c>
    </row>
    <row r="78" customFormat="false" ht="15" hidden="false" customHeight="false" outlineLevel="0" collapsed="false">
      <c r="A78" s="12" t="s">
        <v>63</v>
      </c>
    </row>
    <row r="79" customFormat="false" ht="15" hidden="false" customHeight="false" outlineLevel="0" collapsed="false">
      <c r="A79" s="12" t="s">
        <v>64</v>
      </c>
    </row>
    <row r="80" customFormat="false" ht="15" hidden="false" customHeight="false" outlineLevel="0" collapsed="false">
      <c r="A80" s="12" t="s">
        <v>65</v>
      </c>
    </row>
    <row r="81" customFormat="false" ht="15" hidden="false" customHeight="false" outlineLevel="0" collapsed="false">
      <c r="A81" s="1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2026-07-26T09:00:06Z</dcterms:created>
  <dc:creator>openpyxl</dc:creator>
  <dc:description/>
  <dc:language>en-US</dc:language>
  <cp:lastModifiedBy/>
  <dcterms:modified xsi:type="dcterms:W3CDTF">2026-07-26T09:00:06Z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