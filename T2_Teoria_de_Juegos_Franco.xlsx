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16380" windowHeight="8190" tabRatio="500" firstSheet="1" activeTab="5"/>
  </bookViews>
  <sheets>
    <sheet name="Guía" sheetId="1" r:id="rId1"/>
    <sheet name="Empresas" sheetId="2" r:id="rId2"/>
    <sheet name="Ventas_Ana" sheetId="3" r:id="rId3"/>
    <sheet name="Ventas_Berry" sheetId="4" r:id="rId4"/>
    <sheet name="Ventas_Martina" sheetId="5" r:id="rId5"/>
    <sheet name="Datos_3J" sheetId="6" r:id="rId6"/>
    <sheet name="Terna_Proceso" sheetId="7" r:id="rId7"/>
    <sheet name="Matriz_3J" sheetId="8" r:id="rId8"/>
    <sheet name="Datos_Comp" sheetId="9" r:id="rId9"/>
    <sheet name="Regresión" sheetId="10" r:id="rId10"/>
    <sheet name="Nash" sheetId="11" r:id="rId11"/>
    <sheet name="Cooperativa" sheetId="12" r:id="rId12"/>
    <sheet name="Comparativo" sheetId="13" r:id="rId13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10" l="1"/>
  <c r="L23" i="10" s="1"/>
  <c r="B11" i="10"/>
  <c r="E23" i="10" s="1"/>
  <c r="G45" i="9"/>
  <c r="F45" i="9"/>
  <c r="G44" i="9"/>
  <c r="F44" i="9"/>
  <c r="G43" i="9"/>
  <c r="F43" i="9"/>
  <c r="G42" i="9"/>
  <c r="F42" i="9"/>
  <c r="C40" i="9"/>
  <c r="B40" i="9"/>
  <c r="C39" i="9"/>
  <c r="B39" i="9"/>
  <c r="C38" i="9"/>
  <c r="B38" i="9"/>
  <c r="C37" i="9"/>
  <c r="B37" i="9"/>
  <c r="C36" i="9"/>
  <c r="B36" i="9"/>
  <c r="C35" i="9"/>
  <c r="B35" i="9"/>
  <c r="C34" i="9"/>
  <c r="B34" i="9"/>
  <c r="C33" i="9"/>
  <c r="B33" i="9"/>
  <c r="C32" i="9"/>
  <c r="B32" i="9"/>
  <c r="C31" i="9"/>
  <c r="B31" i="9"/>
  <c r="C30" i="9"/>
  <c r="B30" i="9"/>
  <c r="C29" i="9"/>
  <c r="B29" i="9"/>
  <c r="C28" i="9"/>
  <c r="B28" i="9"/>
  <c r="C27" i="9"/>
  <c r="B27" i="9"/>
  <c r="C26" i="9"/>
  <c r="B26" i="9"/>
  <c r="C25" i="9"/>
  <c r="B25" i="9"/>
  <c r="C24" i="9"/>
  <c r="B24" i="9"/>
  <c r="C23" i="9"/>
  <c r="B23" i="9"/>
  <c r="C22" i="9"/>
  <c r="B22" i="9"/>
  <c r="C21" i="9"/>
  <c r="B21" i="9"/>
  <c r="C20" i="9"/>
  <c r="B20" i="9"/>
  <c r="C19" i="9"/>
  <c r="B19" i="9"/>
  <c r="C18" i="9"/>
  <c r="B18" i="9"/>
  <c r="C17" i="9"/>
  <c r="B17" i="9"/>
  <c r="C16" i="9"/>
  <c r="B16" i="9"/>
  <c r="C15" i="9"/>
  <c r="B15" i="9"/>
  <c r="C14" i="9"/>
  <c r="B14" i="9"/>
  <c r="C13" i="9"/>
  <c r="B13" i="9"/>
  <c r="C12" i="9"/>
  <c r="B12" i="9"/>
  <c r="C11" i="9"/>
  <c r="B11" i="9"/>
  <c r="B4" i="9"/>
  <c r="B3" i="8"/>
  <c r="E34" i="7"/>
  <c r="A34" i="7"/>
  <c r="E33" i="7"/>
  <c r="A33" i="7"/>
  <c r="E32" i="7"/>
  <c r="A32" i="7"/>
  <c r="E31" i="7"/>
  <c r="A31" i="7"/>
  <c r="E30" i="7"/>
  <c r="A30" i="7"/>
  <c r="E29" i="7"/>
  <c r="A29" i="7"/>
  <c r="E28" i="7"/>
  <c r="A28" i="7"/>
  <c r="E27" i="7"/>
  <c r="A27" i="7"/>
  <c r="D17" i="7"/>
  <c r="C16" i="7"/>
  <c r="B15" i="7"/>
  <c r="B3" i="7"/>
  <c r="D36" i="6"/>
  <c r="C36" i="6"/>
  <c r="B36" i="6"/>
  <c r="D35" i="6"/>
  <c r="C35" i="6"/>
  <c r="B35" i="6"/>
  <c r="D34" i="6"/>
  <c r="C34" i="6"/>
  <c r="B34" i="6"/>
  <c r="D33" i="6"/>
  <c r="C33" i="6"/>
  <c r="B33" i="6"/>
  <c r="D32" i="6"/>
  <c r="C32" i="6"/>
  <c r="B32" i="6"/>
  <c r="D31" i="6"/>
  <c r="C31" i="6"/>
  <c r="B31" i="6"/>
  <c r="D30" i="6"/>
  <c r="C30" i="6"/>
  <c r="B30" i="6"/>
  <c r="B6" i="6"/>
  <c r="K43" i="5"/>
  <c r="C43" i="5"/>
  <c r="K42" i="5"/>
  <c r="C42" i="5"/>
  <c r="K41" i="5"/>
  <c r="C41" i="5"/>
  <c r="K40" i="5"/>
  <c r="C40" i="5"/>
  <c r="K39" i="5"/>
  <c r="C39" i="5"/>
  <c r="K38" i="5"/>
  <c r="C38" i="5"/>
  <c r="K37" i="5"/>
  <c r="C37" i="5"/>
  <c r="K36" i="5"/>
  <c r="C36" i="5"/>
  <c r="K35" i="5"/>
  <c r="C35" i="5"/>
  <c r="K34" i="5"/>
  <c r="C34" i="5"/>
  <c r="K33" i="5"/>
  <c r="C33" i="5"/>
  <c r="K32" i="5"/>
  <c r="C32" i="5"/>
  <c r="K31" i="5"/>
  <c r="C31" i="5"/>
  <c r="K30" i="5"/>
  <c r="C30" i="5"/>
  <c r="K29" i="5"/>
  <c r="C29" i="5"/>
  <c r="K28" i="5"/>
  <c r="C28" i="5"/>
  <c r="K27" i="5"/>
  <c r="C27" i="5"/>
  <c r="K26" i="5"/>
  <c r="C26" i="5"/>
  <c r="K25" i="5"/>
  <c r="C25" i="5"/>
  <c r="K24" i="5"/>
  <c r="C24" i="5"/>
  <c r="K23" i="5"/>
  <c r="C23" i="5"/>
  <c r="K22" i="5"/>
  <c r="C22" i="5"/>
  <c r="K21" i="5"/>
  <c r="C21" i="5"/>
  <c r="K20" i="5"/>
  <c r="C20" i="5"/>
  <c r="K19" i="5"/>
  <c r="C19" i="5"/>
  <c r="K18" i="5"/>
  <c r="C18" i="5"/>
  <c r="K17" i="5"/>
  <c r="C17" i="5"/>
  <c r="K16" i="5"/>
  <c r="C16" i="5"/>
  <c r="K15" i="5"/>
  <c r="C15" i="5"/>
  <c r="K14" i="5"/>
  <c r="C14" i="5"/>
  <c r="K9" i="5"/>
  <c r="J9" i="5"/>
  <c r="I9" i="5"/>
  <c r="H9" i="5"/>
  <c r="G9" i="5"/>
  <c r="F9" i="5"/>
  <c r="E9" i="5"/>
  <c r="D9" i="5"/>
  <c r="K8" i="5"/>
  <c r="J8" i="5"/>
  <c r="I8" i="5"/>
  <c r="H8" i="5"/>
  <c r="G8" i="5"/>
  <c r="F8" i="5"/>
  <c r="E8" i="5"/>
  <c r="D8" i="5"/>
  <c r="K7" i="5"/>
  <c r="J7" i="5"/>
  <c r="I7" i="5"/>
  <c r="H7" i="5"/>
  <c r="G7" i="5"/>
  <c r="F7" i="5"/>
  <c r="E7" i="5"/>
  <c r="D7" i="5"/>
  <c r="K6" i="5"/>
  <c r="J6" i="5"/>
  <c r="I6" i="5"/>
  <c r="H6" i="5"/>
  <c r="G6" i="5"/>
  <c r="F6" i="5"/>
  <c r="E6" i="5"/>
  <c r="D6" i="5"/>
  <c r="K5" i="5"/>
  <c r="K10" i="5" s="1"/>
  <c r="J5" i="5"/>
  <c r="D46" i="6" s="1"/>
  <c r="D57" i="6" s="1"/>
  <c r="D68" i="6" s="1"/>
  <c r="I5" i="5"/>
  <c r="I10" i="5" s="1"/>
  <c r="H5" i="5"/>
  <c r="D44" i="6" s="1"/>
  <c r="D55" i="6" s="1"/>
  <c r="D66" i="6" s="1"/>
  <c r="G5" i="5"/>
  <c r="G10" i="5" s="1"/>
  <c r="F5" i="5"/>
  <c r="D42" i="6" s="1"/>
  <c r="D53" i="6" s="1"/>
  <c r="D64" i="6" s="1"/>
  <c r="E5" i="5"/>
  <c r="E10" i="5" s="1"/>
  <c r="D5" i="5"/>
  <c r="D40" i="6" s="1"/>
  <c r="K44" i="4"/>
  <c r="C44" i="4"/>
  <c r="K43" i="4"/>
  <c r="C43" i="4"/>
  <c r="K42" i="4"/>
  <c r="C42" i="4"/>
  <c r="K41" i="4"/>
  <c r="C41" i="4"/>
  <c r="K40" i="4"/>
  <c r="C40" i="4"/>
  <c r="K39" i="4"/>
  <c r="C39" i="4"/>
  <c r="K38" i="4"/>
  <c r="C38" i="4"/>
  <c r="K37" i="4"/>
  <c r="C37" i="4"/>
  <c r="K36" i="4"/>
  <c r="C36" i="4"/>
  <c r="K35" i="4"/>
  <c r="C35" i="4"/>
  <c r="K34" i="4"/>
  <c r="C34" i="4"/>
  <c r="K33" i="4"/>
  <c r="C33" i="4"/>
  <c r="K32" i="4"/>
  <c r="C32" i="4"/>
  <c r="K31" i="4"/>
  <c r="C31" i="4"/>
  <c r="K30" i="4"/>
  <c r="C30" i="4"/>
  <c r="K29" i="4"/>
  <c r="C29" i="4"/>
  <c r="K28" i="4"/>
  <c r="C28" i="4"/>
  <c r="K27" i="4"/>
  <c r="C27" i="4"/>
  <c r="K26" i="4"/>
  <c r="C26" i="4"/>
  <c r="K25" i="4"/>
  <c r="C25" i="4"/>
  <c r="K24" i="4"/>
  <c r="C24" i="4"/>
  <c r="K23" i="4"/>
  <c r="C23" i="4"/>
  <c r="K22" i="4"/>
  <c r="C22" i="4"/>
  <c r="K21" i="4"/>
  <c r="C21" i="4"/>
  <c r="K20" i="4"/>
  <c r="C20" i="4"/>
  <c r="K19" i="4"/>
  <c r="C19" i="4"/>
  <c r="K18" i="4"/>
  <c r="C18" i="4"/>
  <c r="K17" i="4"/>
  <c r="C17" i="4"/>
  <c r="K16" i="4"/>
  <c r="C16" i="4"/>
  <c r="K15" i="4"/>
  <c r="C15" i="4"/>
  <c r="K14" i="4"/>
  <c r="K9" i="4" s="1"/>
  <c r="C14" i="4"/>
  <c r="J9" i="4"/>
  <c r="I9" i="4"/>
  <c r="H9" i="4"/>
  <c r="G9" i="4"/>
  <c r="F9" i="4"/>
  <c r="E9" i="4"/>
  <c r="D9" i="4"/>
  <c r="J8" i="4"/>
  <c r="I8" i="4"/>
  <c r="H8" i="4"/>
  <c r="G8" i="4"/>
  <c r="F8" i="4"/>
  <c r="E8" i="4"/>
  <c r="D8" i="4"/>
  <c r="J7" i="4"/>
  <c r="I7" i="4"/>
  <c r="H7" i="4"/>
  <c r="G7" i="4"/>
  <c r="F7" i="4"/>
  <c r="E7" i="4"/>
  <c r="D7" i="4"/>
  <c r="J6" i="4"/>
  <c r="I6" i="4"/>
  <c r="H6" i="4"/>
  <c r="G6" i="4"/>
  <c r="F6" i="4"/>
  <c r="E6" i="4"/>
  <c r="D6" i="4"/>
  <c r="K5" i="4"/>
  <c r="J5" i="4"/>
  <c r="C46" i="6" s="1"/>
  <c r="C57" i="6" s="1"/>
  <c r="C68" i="6" s="1"/>
  <c r="I5" i="4"/>
  <c r="C45" i="6" s="1"/>
  <c r="C56" i="6" s="1"/>
  <c r="C67" i="6" s="1"/>
  <c r="H5" i="4"/>
  <c r="H10" i="4" s="1"/>
  <c r="G5" i="4"/>
  <c r="C43" i="6" s="1"/>
  <c r="F5" i="4"/>
  <c r="C42" i="6" s="1"/>
  <c r="C53" i="6" s="1"/>
  <c r="C64" i="6" s="1"/>
  <c r="E5" i="4"/>
  <c r="C41" i="6" s="1"/>
  <c r="C52" i="6" s="1"/>
  <c r="C63" i="6" s="1"/>
  <c r="D5" i="4"/>
  <c r="D10" i="4" s="1"/>
  <c r="K43" i="3"/>
  <c r="C43" i="3"/>
  <c r="K42" i="3"/>
  <c r="C42" i="3"/>
  <c r="K41" i="3"/>
  <c r="C41" i="3"/>
  <c r="K40" i="3"/>
  <c r="C40" i="3"/>
  <c r="K39" i="3"/>
  <c r="C39" i="3"/>
  <c r="K38" i="3"/>
  <c r="C38" i="3"/>
  <c r="K37" i="3"/>
  <c r="C37" i="3"/>
  <c r="K36" i="3"/>
  <c r="C36" i="3"/>
  <c r="K35" i="3"/>
  <c r="C35" i="3"/>
  <c r="K34" i="3"/>
  <c r="C34" i="3"/>
  <c r="K33" i="3"/>
  <c r="C33" i="3"/>
  <c r="K32" i="3"/>
  <c r="C32" i="3"/>
  <c r="K31" i="3"/>
  <c r="C31" i="3"/>
  <c r="K30" i="3"/>
  <c r="C30" i="3"/>
  <c r="K29" i="3"/>
  <c r="C29" i="3"/>
  <c r="K28" i="3"/>
  <c r="C28" i="3"/>
  <c r="K27" i="3"/>
  <c r="C27" i="3"/>
  <c r="K26" i="3"/>
  <c r="C26" i="3"/>
  <c r="K25" i="3"/>
  <c r="C25" i="3"/>
  <c r="K24" i="3"/>
  <c r="C24" i="3"/>
  <c r="K23" i="3"/>
  <c r="C23" i="3"/>
  <c r="K22" i="3"/>
  <c r="C22" i="3"/>
  <c r="K21" i="3"/>
  <c r="C21" i="3"/>
  <c r="K20" i="3"/>
  <c r="C20" i="3"/>
  <c r="K19" i="3"/>
  <c r="C19" i="3"/>
  <c r="K18" i="3"/>
  <c r="C18" i="3"/>
  <c r="K17" i="3"/>
  <c r="C17" i="3"/>
  <c r="K16" i="3"/>
  <c r="C16" i="3"/>
  <c r="K15" i="3"/>
  <c r="C15" i="3"/>
  <c r="K14" i="3"/>
  <c r="K9" i="3" s="1"/>
  <c r="C14" i="3"/>
  <c r="J9" i="3"/>
  <c r="I9" i="3"/>
  <c r="H9" i="3"/>
  <c r="G9" i="3"/>
  <c r="F9" i="3"/>
  <c r="E9" i="3"/>
  <c r="D9" i="3"/>
  <c r="J8" i="3"/>
  <c r="I8" i="3"/>
  <c r="H8" i="3"/>
  <c r="G8" i="3"/>
  <c r="F8" i="3"/>
  <c r="E8" i="3"/>
  <c r="D8" i="3"/>
  <c r="J7" i="3"/>
  <c r="I7" i="3"/>
  <c r="H7" i="3"/>
  <c r="G7" i="3"/>
  <c r="F7" i="3"/>
  <c r="E7" i="3"/>
  <c r="D7" i="3"/>
  <c r="J6" i="3"/>
  <c r="I6" i="3"/>
  <c r="H6" i="3"/>
  <c r="G6" i="3"/>
  <c r="F6" i="3"/>
  <c r="E6" i="3"/>
  <c r="D6" i="3"/>
  <c r="K5" i="3"/>
  <c r="J5" i="3"/>
  <c r="B46" i="6" s="1"/>
  <c r="I5" i="3"/>
  <c r="B45" i="6" s="1"/>
  <c r="H5" i="3"/>
  <c r="B44" i="6" s="1"/>
  <c r="G5" i="3"/>
  <c r="B43" i="6" s="1"/>
  <c r="F5" i="3"/>
  <c r="B42" i="6" s="1"/>
  <c r="E5" i="3"/>
  <c r="B41" i="6" s="1"/>
  <c r="D5" i="3"/>
  <c r="B40" i="6" s="1"/>
  <c r="B20" i="2"/>
  <c r="D19" i="2"/>
  <c r="C19" i="2"/>
  <c r="B19" i="2"/>
  <c r="D51" i="6" l="1"/>
  <c r="C54" i="6"/>
  <c r="C65" i="6" s="1"/>
  <c r="C20" i="2"/>
  <c r="B51" i="6"/>
  <c r="B47" i="6"/>
  <c r="B17" i="2" s="1"/>
  <c r="D10" i="3"/>
  <c r="H10" i="3"/>
  <c r="B18" i="2"/>
  <c r="B52" i="6"/>
  <c r="B56" i="6"/>
  <c r="E10" i="3"/>
  <c r="I10" i="3"/>
  <c r="E10" i="4"/>
  <c r="I10" i="4"/>
  <c r="H10" i="5"/>
  <c r="D41" i="6"/>
  <c r="D52" i="6" s="1"/>
  <c r="D63" i="6" s="1"/>
  <c r="D43" i="6"/>
  <c r="D45" i="6"/>
  <c r="D56" i="6" s="1"/>
  <c r="D67" i="6" s="1"/>
  <c r="E42" i="6"/>
  <c r="B53" i="6"/>
  <c r="F10" i="4"/>
  <c r="J10" i="4"/>
  <c r="D10" i="5"/>
  <c r="J10" i="5"/>
  <c r="C40" i="6"/>
  <c r="C44" i="6"/>
  <c r="C55" i="6" s="1"/>
  <c r="C66" i="6" s="1"/>
  <c r="E46" i="6"/>
  <c r="B57" i="6"/>
  <c r="F10" i="3"/>
  <c r="J10" i="3"/>
  <c r="E43" i="6"/>
  <c r="B54" i="6"/>
  <c r="K6" i="3"/>
  <c r="K7" i="3"/>
  <c r="K10" i="3" s="1"/>
  <c r="K8" i="3"/>
  <c r="G10" i="3"/>
  <c r="K6" i="4"/>
  <c r="K7" i="4"/>
  <c r="K10" i="4" s="1"/>
  <c r="K8" i="4"/>
  <c r="G10" i="4"/>
  <c r="F10" i="5"/>
  <c r="E44" i="6"/>
  <c r="B55" i="6"/>
  <c r="E39" i="9"/>
  <c r="D38" i="9"/>
  <c r="E35" i="9"/>
  <c r="D34" i="9"/>
  <c r="E31" i="9"/>
  <c r="D30" i="9"/>
  <c r="E27" i="9"/>
  <c r="D26" i="9"/>
  <c r="E23" i="9"/>
  <c r="D22" i="9"/>
  <c r="E19" i="9"/>
  <c r="D18" i="9"/>
  <c r="E15" i="9"/>
  <c r="D14" i="9"/>
  <c r="B5" i="9"/>
  <c r="E40" i="9"/>
  <c r="D39" i="9"/>
  <c r="E36" i="9"/>
  <c r="D35" i="9"/>
  <c r="E32" i="9"/>
  <c r="D31" i="9"/>
  <c r="E28" i="9"/>
  <c r="D27" i="9"/>
  <c r="E24" i="9"/>
  <c r="D23" i="9"/>
  <c r="E20" i="9"/>
  <c r="D19" i="9"/>
  <c r="E16" i="9"/>
  <c r="D15" i="9"/>
  <c r="E12" i="9"/>
  <c r="E11" i="9"/>
  <c r="C7" i="9"/>
  <c r="D40" i="9"/>
  <c r="E37" i="9"/>
  <c r="D36" i="9"/>
  <c r="E33" i="9"/>
  <c r="D32" i="9"/>
  <c r="E29" i="9"/>
  <c r="D28" i="9"/>
  <c r="E25" i="9"/>
  <c r="D24" i="9"/>
  <c r="E21" i="9"/>
  <c r="D20" i="9"/>
  <c r="E17" i="9"/>
  <c r="D16" i="9"/>
  <c r="E13" i="9"/>
  <c r="D12" i="9"/>
  <c r="D11" i="9"/>
  <c r="B7" i="9"/>
  <c r="E38" i="9"/>
  <c r="D37" i="9"/>
  <c r="E34" i="9"/>
  <c r="D33" i="9"/>
  <c r="E30" i="9"/>
  <c r="D29" i="9"/>
  <c r="E26" i="9"/>
  <c r="D25" i="9"/>
  <c r="E22" i="9"/>
  <c r="D21" i="9"/>
  <c r="E18" i="9"/>
  <c r="D17" i="9"/>
  <c r="E14" i="9"/>
  <c r="D13" i="9"/>
  <c r="B6" i="9"/>
  <c r="C7" i="7"/>
  <c r="B9" i="13"/>
  <c r="B8" i="13"/>
  <c r="B13" i="10" l="1"/>
  <c r="E25" i="10" s="1"/>
  <c r="B9" i="10"/>
  <c r="B16" i="10"/>
  <c r="L24" i="10" s="1"/>
  <c r="B7" i="10"/>
  <c r="E44" i="9"/>
  <c r="E42" i="9"/>
  <c r="E45" i="9"/>
  <c r="E43" i="9"/>
  <c r="E55" i="6"/>
  <c r="B66" i="6"/>
  <c r="E66" i="6" s="1"/>
  <c r="E56" i="6"/>
  <c r="B67" i="6"/>
  <c r="E67" i="6" s="1"/>
  <c r="B62" i="6"/>
  <c r="B58" i="6"/>
  <c r="B9" i="11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C47" i="6"/>
  <c r="C17" i="2" s="1"/>
  <c r="C18" i="2"/>
  <c r="C51" i="6"/>
  <c r="D54" i="6"/>
  <c r="D65" i="6" s="1"/>
  <c r="D7" i="7" s="1"/>
  <c r="D20" i="2"/>
  <c r="E45" i="6"/>
  <c r="E40" i="6"/>
  <c r="D47" i="6"/>
  <c r="D17" i="2" s="1"/>
  <c r="C22" i="7"/>
  <c r="E54" i="6"/>
  <c r="B65" i="6"/>
  <c r="E57" i="6"/>
  <c r="B68" i="6"/>
  <c r="E68" i="6" s="1"/>
  <c r="E53" i="6"/>
  <c r="B64" i="6"/>
  <c r="E64" i="6" s="1"/>
  <c r="E52" i="6"/>
  <c r="B63" i="6"/>
  <c r="E63" i="6" s="1"/>
  <c r="D18" i="2"/>
  <c r="D9" i="11"/>
  <c r="I40" i="9"/>
  <c r="I36" i="9"/>
  <c r="I32" i="9"/>
  <c r="I28" i="9"/>
  <c r="I24" i="9"/>
  <c r="I20" i="9"/>
  <c r="I16" i="9"/>
  <c r="I12" i="9"/>
  <c r="I37" i="9"/>
  <c r="I33" i="9"/>
  <c r="I29" i="9"/>
  <c r="I25" i="9"/>
  <c r="I21" i="9"/>
  <c r="I17" i="9"/>
  <c r="I13" i="9"/>
  <c r="I38" i="9"/>
  <c r="I34" i="9"/>
  <c r="I30" i="9"/>
  <c r="I26" i="9"/>
  <c r="I22" i="9"/>
  <c r="I18" i="9"/>
  <c r="I14" i="9"/>
  <c r="I39" i="9"/>
  <c r="I35" i="9"/>
  <c r="I31" i="9"/>
  <c r="I27" i="9"/>
  <c r="I23" i="9"/>
  <c r="I19" i="9"/>
  <c r="I15" i="9"/>
  <c r="I11" i="9"/>
  <c r="C57" i="10"/>
  <c r="E55" i="10"/>
  <c r="C58" i="10"/>
  <c r="C55" i="10"/>
  <c r="C47" i="10"/>
  <c r="E45" i="10"/>
  <c r="E44" i="10"/>
  <c r="B5" i="10"/>
  <c r="D45" i="9"/>
  <c r="D44" i="9"/>
  <c r="D43" i="9"/>
  <c r="D42" i="9"/>
  <c r="E56" i="10"/>
  <c r="C48" i="10"/>
  <c r="E46" i="10"/>
  <c r="B12" i="10"/>
  <c r="E24" i="10" s="1"/>
  <c r="B8" i="10"/>
  <c r="C56" i="10"/>
  <c r="E54" i="10"/>
  <c r="C46" i="10"/>
  <c r="C45" i="10"/>
  <c r="C44" i="10"/>
  <c r="B15" i="10"/>
  <c r="L25" i="10" s="1"/>
  <c r="C54" i="10"/>
  <c r="B10" i="10"/>
  <c r="B6" i="10"/>
  <c r="E41" i="6"/>
  <c r="D62" i="6"/>
  <c r="D69" i="6" s="1"/>
  <c r="D58" i="6"/>
  <c r="I25" i="10" l="1"/>
  <c r="B24" i="10"/>
  <c r="K23" i="10"/>
  <c r="C23" i="10"/>
  <c r="K25" i="10"/>
  <c r="C24" i="10"/>
  <c r="B25" i="10"/>
  <c r="I24" i="10"/>
  <c r="D23" i="10"/>
  <c r="J23" i="10"/>
  <c r="K24" i="10"/>
  <c r="D24" i="10"/>
  <c r="J25" i="10"/>
  <c r="C25" i="10"/>
  <c r="D8" i="7"/>
  <c r="D22" i="2"/>
  <c r="B41" i="11"/>
  <c r="H58" i="11" s="1"/>
  <c r="B5" i="13"/>
  <c r="I23" i="10"/>
  <c r="B23" i="10"/>
  <c r="I45" i="9"/>
  <c r="I43" i="9"/>
  <c r="I44" i="9"/>
  <c r="I42" i="9"/>
  <c r="B11" i="13" s="1"/>
  <c r="B14" i="13" s="1"/>
  <c r="D23" i="7"/>
  <c r="D9" i="7"/>
  <c r="D21" i="2" s="1"/>
  <c r="H45" i="9"/>
  <c r="H44" i="9"/>
  <c r="H43" i="9"/>
  <c r="H42" i="9"/>
  <c r="B10" i="13" s="1"/>
  <c r="E62" i="6"/>
  <c r="E69" i="6" s="1"/>
  <c r="B69" i="6"/>
  <c r="C41" i="11"/>
  <c r="I58" i="11" s="1"/>
  <c r="B6" i="13"/>
  <c r="D25" i="10"/>
  <c r="J24" i="10"/>
  <c r="E65" i="6"/>
  <c r="B7" i="7"/>
  <c r="E47" i="6"/>
  <c r="C58" i="6"/>
  <c r="C62" i="6"/>
  <c r="C69" i="6" s="1"/>
  <c r="E51" i="6"/>
  <c r="E58" i="6" s="1"/>
  <c r="B7" i="13" l="1"/>
  <c r="C28" i="10"/>
  <c r="B8" i="7"/>
  <c r="B22" i="2"/>
  <c r="K28" i="10"/>
  <c r="G34" i="7"/>
  <c r="F31" i="7"/>
  <c r="G30" i="7"/>
  <c r="F27" i="7"/>
  <c r="F33" i="7"/>
  <c r="G32" i="7"/>
  <c r="F32" i="7"/>
  <c r="G31" i="7"/>
  <c r="F28" i="7"/>
  <c r="G27" i="7"/>
  <c r="E7" i="7"/>
  <c r="G29" i="7"/>
  <c r="H28" i="7"/>
  <c r="H27" i="7"/>
  <c r="B21" i="7"/>
  <c r="G33" i="7"/>
  <c r="F30" i="7"/>
  <c r="F29" i="7"/>
  <c r="G28" i="7"/>
  <c r="B16" i="7"/>
  <c r="B9" i="7"/>
  <c r="F34" i="7"/>
  <c r="H34" i="7" s="1"/>
  <c r="B17" i="7"/>
  <c r="B10" i="7"/>
  <c r="B28" i="10"/>
  <c r="E28" i="10"/>
  <c r="C30" i="10"/>
  <c r="C35" i="10" s="1"/>
  <c r="J28" i="10"/>
  <c r="C29" i="10"/>
  <c r="C34" i="10" s="1"/>
  <c r="B29" i="10"/>
  <c r="B34" i="10" s="1"/>
  <c r="J29" i="10"/>
  <c r="J34" i="10" s="1"/>
  <c r="C8" i="7"/>
  <c r="C9" i="7" s="1"/>
  <c r="C21" i="2" s="1"/>
  <c r="C22" i="2"/>
  <c r="B13" i="13"/>
  <c r="B12" i="13"/>
  <c r="B15" i="13" s="1"/>
  <c r="I28" i="10"/>
  <c r="I30" i="10" s="1"/>
  <c r="L28" i="10"/>
  <c r="J30" i="10"/>
  <c r="D28" i="10"/>
  <c r="D29" i="10" s="1"/>
  <c r="D34" i="10" s="1"/>
  <c r="K30" i="10"/>
  <c r="D16" i="8" l="1"/>
  <c r="E17" i="7"/>
  <c r="B23" i="7"/>
  <c r="E9" i="7"/>
  <c r="I30" i="7"/>
  <c r="J30" i="7"/>
  <c r="B15" i="8"/>
  <c r="I32" i="7"/>
  <c r="J32" i="7"/>
  <c r="I33" i="7"/>
  <c r="J33" i="7"/>
  <c r="I29" i="10"/>
  <c r="I34" i="10" s="1"/>
  <c r="I35" i="10" s="1"/>
  <c r="I40" i="10" s="1"/>
  <c r="E33" i="10"/>
  <c r="E29" i="10"/>
  <c r="E34" i="10" s="1"/>
  <c r="E30" i="10"/>
  <c r="B22" i="7"/>
  <c r="E22" i="7" s="1"/>
  <c r="I28" i="7"/>
  <c r="J28" i="7"/>
  <c r="I31" i="7"/>
  <c r="J31" i="7"/>
  <c r="E8" i="7"/>
  <c r="D33" i="10"/>
  <c r="J35" i="10"/>
  <c r="L33" i="10"/>
  <c r="L29" i="10"/>
  <c r="L34" i="10" s="1"/>
  <c r="L30" i="10"/>
  <c r="L35" i="10" s="1"/>
  <c r="B33" i="10"/>
  <c r="I34" i="7"/>
  <c r="J34" i="7"/>
  <c r="H32" i="7"/>
  <c r="H30" i="7"/>
  <c r="H31" i="7"/>
  <c r="I27" i="7"/>
  <c r="K27" i="7" s="1"/>
  <c r="J27" i="7"/>
  <c r="H33" i="7"/>
  <c r="B30" i="10"/>
  <c r="B35" i="10" s="1"/>
  <c r="D30" i="10"/>
  <c r="D35" i="10" s="1"/>
  <c r="D40" i="10" s="1"/>
  <c r="D39" i="10" s="1"/>
  <c r="J33" i="10"/>
  <c r="E10" i="7"/>
  <c r="B14" i="7"/>
  <c r="B21" i="2"/>
  <c r="I29" i="7"/>
  <c r="J29" i="7"/>
  <c r="B9" i="8"/>
  <c r="C15" i="7"/>
  <c r="C10" i="7"/>
  <c r="C17" i="7"/>
  <c r="C23" i="7" s="1"/>
  <c r="D16" i="7"/>
  <c r="D22" i="7" s="1"/>
  <c r="D15" i="7"/>
  <c r="D21" i="7" s="1"/>
  <c r="D10" i="7"/>
  <c r="H29" i="7"/>
  <c r="K29" i="10"/>
  <c r="K34" i="10" s="1"/>
  <c r="K35" i="10" s="1"/>
  <c r="K40" i="10" s="1"/>
  <c r="C33" i="10"/>
  <c r="L27" i="7" l="1"/>
  <c r="B40" i="10"/>
  <c r="B39" i="10" s="1"/>
  <c r="L40" i="10"/>
  <c r="B56" i="10" s="1"/>
  <c r="N31" i="7"/>
  <c r="D14" i="7"/>
  <c r="C14" i="7"/>
  <c r="E14" i="7" s="1"/>
  <c r="I33" i="10"/>
  <c r="I38" i="10" s="1"/>
  <c r="O27" i="7"/>
  <c r="M32" i="7"/>
  <c r="K32" i="7"/>
  <c r="L32" i="7" s="1"/>
  <c r="B16" i="8"/>
  <c r="B38" i="10"/>
  <c r="L38" i="10"/>
  <c r="K33" i="10"/>
  <c r="K38" i="10" s="1"/>
  <c r="N28" i="7"/>
  <c r="O32" i="7"/>
  <c r="E23" i="7"/>
  <c r="C40" i="10"/>
  <c r="C39" i="10" s="1"/>
  <c r="C38" i="10"/>
  <c r="E15" i="7"/>
  <c r="C21" i="7"/>
  <c r="E21" i="7" s="1"/>
  <c r="N27" i="7"/>
  <c r="J40" i="10"/>
  <c r="I39" i="10"/>
  <c r="N32" i="7"/>
  <c r="K39" i="10"/>
  <c r="K31" i="7"/>
  <c r="L31" i="7" s="1"/>
  <c r="O31" i="7" s="1"/>
  <c r="B10" i="8"/>
  <c r="D38" i="10"/>
  <c r="E16" i="7"/>
  <c r="O33" i="7"/>
  <c r="K29" i="7"/>
  <c r="L29" i="7" s="1"/>
  <c r="N29" i="7" s="1"/>
  <c r="D9" i="8"/>
  <c r="J38" i="10"/>
  <c r="K33" i="7"/>
  <c r="L33" i="7" s="1"/>
  <c r="M33" i="7" s="1"/>
  <c r="D10" i="8"/>
  <c r="K30" i="7"/>
  <c r="L30" i="7" s="1"/>
  <c r="M30" i="7" s="1"/>
  <c r="D15" i="8"/>
  <c r="N34" i="7"/>
  <c r="L39" i="10"/>
  <c r="B55" i="10" s="1"/>
  <c r="E35" i="10"/>
  <c r="E40" i="10" s="1"/>
  <c r="B46" i="10" s="1"/>
  <c r="J39" i="10"/>
  <c r="N33" i="7"/>
  <c r="K28" i="7"/>
  <c r="L28" i="7" s="1"/>
  <c r="M28" i="7" s="1"/>
  <c r="K34" i="7"/>
  <c r="L34" i="7" s="1"/>
  <c r="M34" i="7" s="1"/>
  <c r="C38" i="8" l="1"/>
  <c r="R34" i="7"/>
  <c r="S27" i="7"/>
  <c r="D39" i="8"/>
  <c r="P33" i="7"/>
  <c r="Q33" i="7"/>
  <c r="D37" i="8"/>
  <c r="R29" i="7"/>
  <c r="T32" i="7"/>
  <c r="C45" i="8"/>
  <c r="M31" i="7"/>
  <c r="O30" i="7"/>
  <c r="O29" i="7"/>
  <c r="E39" i="10"/>
  <c r="B45" i="10" s="1"/>
  <c r="T28" i="7"/>
  <c r="C43" i="8"/>
  <c r="D56" i="10"/>
  <c r="D8" i="11"/>
  <c r="F56" i="10"/>
  <c r="D41" i="8"/>
  <c r="S31" i="7"/>
  <c r="D55" i="10"/>
  <c r="D7" i="11"/>
  <c r="B59" i="10"/>
  <c r="F55" i="10"/>
  <c r="C46" i="8"/>
  <c r="T34" i="7"/>
  <c r="D42" i="8"/>
  <c r="S32" i="7"/>
  <c r="U34" i="7"/>
  <c r="Q34" i="7"/>
  <c r="R30" i="7"/>
  <c r="U30" i="7" s="1"/>
  <c r="D38" i="8"/>
  <c r="B8" i="11"/>
  <c r="D46" i="10"/>
  <c r="F46" i="10"/>
  <c r="V32" i="7"/>
  <c r="S34" i="7"/>
  <c r="V34" i="7" s="1"/>
  <c r="C42" i="8"/>
  <c r="N30" i="7"/>
  <c r="P30" i="7" s="1"/>
  <c r="C40" i="8"/>
  <c r="S30" i="7"/>
  <c r="C36" i="8"/>
  <c r="R32" i="7"/>
  <c r="O28" i="7"/>
  <c r="M29" i="7"/>
  <c r="O34" i="7"/>
  <c r="V27" i="7"/>
  <c r="S29" i="7"/>
  <c r="V29" i="7" s="1"/>
  <c r="C39" i="8"/>
  <c r="M27" i="7"/>
  <c r="E38" i="10"/>
  <c r="W32" i="7"/>
  <c r="D45" i="8"/>
  <c r="T31" i="7"/>
  <c r="W31" i="7" s="1"/>
  <c r="B54" i="10"/>
  <c r="K38" i="9"/>
  <c r="K34" i="9"/>
  <c r="K30" i="9"/>
  <c r="K26" i="9"/>
  <c r="K22" i="9"/>
  <c r="K18" i="9"/>
  <c r="K14" i="9"/>
  <c r="K39" i="9"/>
  <c r="K35" i="9"/>
  <c r="K31" i="9"/>
  <c r="K27" i="9"/>
  <c r="K23" i="9"/>
  <c r="K19" i="9"/>
  <c r="K15" i="9"/>
  <c r="K11" i="9"/>
  <c r="K40" i="9"/>
  <c r="K36" i="9"/>
  <c r="K32" i="9"/>
  <c r="K28" i="9"/>
  <c r="K24" i="9"/>
  <c r="K20" i="9"/>
  <c r="K16" i="9"/>
  <c r="K12" i="9"/>
  <c r="K37" i="9"/>
  <c r="K33" i="9"/>
  <c r="K29" i="9"/>
  <c r="K25" i="9"/>
  <c r="K21" i="9"/>
  <c r="K17" i="9"/>
  <c r="K13" i="9"/>
  <c r="U32" i="7"/>
  <c r="Q32" i="7"/>
  <c r="P32" i="7"/>
  <c r="D36" i="8"/>
  <c r="R28" i="7"/>
  <c r="U28" i="7" s="1"/>
  <c r="V31" i="7"/>
  <c r="S33" i="7"/>
  <c r="V33" i="7" s="1"/>
  <c r="C41" i="8"/>
  <c r="W28" i="7" l="1"/>
  <c r="T27" i="7"/>
  <c r="W27" i="7" s="1"/>
  <c r="D43" i="8"/>
  <c r="Q28" i="7"/>
  <c r="B7" i="11"/>
  <c r="B49" i="10"/>
  <c r="F45" i="10"/>
  <c r="D45" i="10"/>
  <c r="F45" i="8"/>
  <c r="E45" i="8"/>
  <c r="F38" i="8"/>
  <c r="E38" i="8"/>
  <c r="F54" i="10"/>
  <c r="D6" i="11"/>
  <c r="D54" i="10"/>
  <c r="B44" i="10"/>
  <c r="J37" i="9"/>
  <c r="J33" i="9"/>
  <c r="J29" i="9"/>
  <c r="J25" i="9"/>
  <c r="J21" i="9"/>
  <c r="J17" i="9"/>
  <c r="J13" i="9"/>
  <c r="J38" i="9"/>
  <c r="J34" i="9"/>
  <c r="J30" i="9"/>
  <c r="J26" i="9"/>
  <c r="J22" i="9"/>
  <c r="J18" i="9"/>
  <c r="J14" i="9"/>
  <c r="J39" i="9"/>
  <c r="J35" i="9"/>
  <c r="J31" i="9"/>
  <c r="J27" i="9"/>
  <c r="J23" i="9"/>
  <c r="J19" i="9"/>
  <c r="J15" i="9"/>
  <c r="J11" i="9"/>
  <c r="J40" i="9"/>
  <c r="J36" i="9"/>
  <c r="J32" i="9"/>
  <c r="J28" i="9"/>
  <c r="J24" i="9"/>
  <c r="J20" i="9"/>
  <c r="J16" i="9"/>
  <c r="J12" i="9"/>
  <c r="X32" i="7"/>
  <c r="B30" i="8" s="1"/>
  <c r="B58" i="10"/>
  <c r="D58" i="10" s="1"/>
  <c r="B57" i="10"/>
  <c r="K45" i="9"/>
  <c r="K44" i="9"/>
  <c r="K42" i="9"/>
  <c r="K43" i="9"/>
  <c r="P27" i="7"/>
  <c r="Q27" i="7"/>
  <c r="C35" i="8"/>
  <c r="R31" i="7"/>
  <c r="V30" i="7"/>
  <c r="S28" i="7"/>
  <c r="V28" i="7" s="1"/>
  <c r="X28" i="7" s="1"/>
  <c r="D40" i="8"/>
  <c r="E46" i="8"/>
  <c r="B8" i="12"/>
  <c r="C16" i="12" s="1"/>
  <c r="B35" i="11"/>
  <c r="C35" i="11" s="1"/>
  <c r="F43" i="8"/>
  <c r="E43" i="8"/>
  <c r="W29" i="7"/>
  <c r="C44" i="8"/>
  <c r="T30" i="7"/>
  <c r="W30" i="7" s="1"/>
  <c r="F41" i="8"/>
  <c r="E41" i="8"/>
  <c r="W34" i="7"/>
  <c r="X34" i="7" s="1"/>
  <c r="D30" i="8" s="1"/>
  <c r="D46" i="8"/>
  <c r="F46" i="8" s="1"/>
  <c r="T33" i="7"/>
  <c r="W33" i="7" s="1"/>
  <c r="F36" i="8"/>
  <c r="E36" i="8"/>
  <c r="F42" i="8"/>
  <c r="E42" i="8"/>
  <c r="P34" i="7"/>
  <c r="T29" i="7"/>
  <c r="D44" i="8"/>
  <c r="Q30" i="7"/>
  <c r="F39" i="8"/>
  <c r="E39" i="8"/>
  <c r="P29" i="7"/>
  <c r="U29" i="7"/>
  <c r="X29" i="7" s="1"/>
  <c r="Q29" i="7"/>
  <c r="C37" i="8"/>
  <c r="R33" i="7"/>
  <c r="U33" i="7" s="1"/>
  <c r="X33" i="7" s="1"/>
  <c r="D24" i="8" s="1"/>
  <c r="P28" i="7"/>
  <c r="F40" i="8"/>
  <c r="E40" i="8"/>
  <c r="B9" i="12"/>
  <c r="C18" i="11"/>
  <c r="A60" i="8"/>
  <c r="C19" i="11"/>
  <c r="P31" i="7"/>
  <c r="Q31" i="7"/>
  <c r="U31" i="7"/>
  <c r="X31" i="7" s="1"/>
  <c r="R27" i="7"/>
  <c r="U27" i="7" s="1"/>
  <c r="X27" i="7" s="1"/>
  <c r="D35" i="8"/>
  <c r="X30" i="7" l="1"/>
  <c r="B6" i="11"/>
  <c r="F44" i="10"/>
  <c r="D44" i="10"/>
  <c r="F35" i="8"/>
  <c r="E35" i="8"/>
  <c r="A52" i="8"/>
  <c r="B23" i="8"/>
  <c r="F37" i="8"/>
  <c r="E37" i="8"/>
  <c r="B29" i="8"/>
  <c r="D29" i="8"/>
  <c r="B16" i="12"/>
  <c r="C15" i="12"/>
  <c r="B24" i="8"/>
  <c r="A56" i="8"/>
  <c r="B36" i="11"/>
  <c r="D23" i="8"/>
  <c r="F44" i="8"/>
  <c r="E44" i="8"/>
  <c r="B48" i="10"/>
  <c r="D48" i="10" s="1"/>
  <c r="B47" i="10"/>
  <c r="J44" i="9"/>
  <c r="J42" i="9"/>
  <c r="J45" i="9"/>
  <c r="J43" i="9"/>
  <c r="D10" i="11"/>
  <c r="D57" i="10"/>
  <c r="B34" i="11"/>
  <c r="C34" i="11" s="1"/>
  <c r="B7" i="12"/>
  <c r="B15" i="12" s="1"/>
  <c r="B37" i="11"/>
  <c r="C37" i="11" s="1"/>
  <c r="B17" i="12" l="1"/>
  <c r="B30" i="12"/>
  <c r="C36" i="11"/>
  <c r="B19" i="11"/>
  <c r="B6" i="12"/>
  <c r="D16" i="12" s="1"/>
  <c r="D47" i="10"/>
  <c r="C24" i="11"/>
  <c r="E47" i="8"/>
  <c r="B10" i="11"/>
  <c r="B5" i="12" l="1"/>
  <c r="D15" i="12" s="1"/>
  <c r="B20" i="12" s="1"/>
  <c r="B44" i="12" s="1"/>
  <c r="C44" i="12" s="1"/>
  <c r="B18" i="11"/>
  <c r="C23" i="11"/>
  <c r="D68" i="11"/>
  <c r="D66" i="11"/>
  <c r="D64" i="11"/>
  <c r="D62" i="11"/>
  <c r="D60" i="11"/>
  <c r="D71" i="11"/>
  <c r="D70" i="11"/>
  <c r="D67" i="11"/>
  <c r="D65" i="11"/>
  <c r="D63" i="11"/>
  <c r="D61" i="11"/>
  <c r="D59" i="11"/>
  <c r="D58" i="11"/>
  <c r="D57" i="11"/>
  <c r="D56" i="11"/>
  <c r="C42" i="11"/>
  <c r="E42" i="11" s="1"/>
  <c r="D69" i="11"/>
  <c r="D19" i="11"/>
  <c r="B68" i="11" l="1"/>
  <c r="B66" i="11"/>
  <c r="B64" i="11"/>
  <c r="B62" i="11"/>
  <c r="B60" i="11"/>
  <c r="B43" i="12"/>
  <c r="C43" i="12" s="1"/>
  <c r="B23" i="11"/>
  <c r="D18" i="11"/>
  <c r="B65" i="11"/>
  <c r="B58" i="11"/>
  <c r="B42" i="11"/>
  <c r="B63" i="11"/>
  <c r="B57" i="11"/>
  <c r="B61" i="11"/>
  <c r="B56" i="11"/>
  <c r="B67" i="11"/>
  <c r="B59" i="11"/>
  <c r="B43" i="11"/>
  <c r="B21" i="12"/>
  <c r="D5" i="13"/>
  <c r="H57" i="11"/>
  <c r="B27" i="12"/>
  <c r="D44" i="12"/>
  <c r="C27" i="12"/>
  <c r="I57" i="11" l="1"/>
  <c r="D6" i="13"/>
  <c r="B23" i="12"/>
  <c r="D43" i="12"/>
  <c r="D23" i="11"/>
  <c r="C5" i="13"/>
  <c r="H56" i="11"/>
  <c r="B24" i="11"/>
  <c r="D43" i="11"/>
  <c r="C44" i="11"/>
  <c r="B22" i="12"/>
  <c r="D7" i="13"/>
  <c r="E5" i="13"/>
  <c r="D42" i="11"/>
  <c r="C43" i="11"/>
  <c r="B25" i="11" l="1"/>
  <c r="F5" i="13"/>
  <c r="D9" i="13"/>
  <c r="B25" i="12"/>
  <c r="E43" i="11"/>
  <c r="B44" i="11"/>
  <c r="B24" i="12"/>
  <c r="D8" i="13"/>
  <c r="B30" i="11"/>
  <c r="E44" i="11"/>
  <c r="B45" i="11"/>
  <c r="C6" i="13"/>
  <c r="I56" i="11"/>
  <c r="D24" i="11"/>
  <c r="B26" i="11"/>
  <c r="B31" i="11"/>
  <c r="C7" i="13" l="1"/>
  <c r="D44" i="11"/>
  <c r="C45" i="11"/>
  <c r="C9" i="13"/>
  <c r="B28" i="11"/>
  <c r="D45" i="11"/>
  <c r="C46" i="11"/>
  <c r="D11" i="13"/>
  <c r="C35" i="12"/>
  <c r="E44" i="12"/>
  <c r="B26" i="12"/>
  <c r="D10" i="13"/>
  <c r="B35" i="12"/>
  <c r="E43" i="12"/>
  <c r="E6" i="13"/>
  <c r="F6" i="13" s="1"/>
  <c r="E9" i="13"/>
  <c r="C8" i="13"/>
  <c r="E8" i="13" s="1"/>
  <c r="B27" i="11"/>
  <c r="F9" i="13" l="1"/>
  <c r="D35" i="12"/>
  <c r="E46" i="11"/>
  <c r="B47" i="11"/>
  <c r="E45" i="11"/>
  <c r="B46" i="11"/>
  <c r="F7" i="13"/>
  <c r="A18" i="13" s="1"/>
  <c r="E7" i="13"/>
  <c r="C10" i="13"/>
  <c r="B29" i="11"/>
  <c r="B34" i="12"/>
  <c r="B36" i="12" s="1"/>
  <c r="D13" i="13"/>
  <c r="D12" i="13"/>
  <c r="E10" i="13"/>
  <c r="A19" i="13"/>
  <c r="F8" i="13"/>
  <c r="E11" i="13"/>
  <c r="D14" i="13"/>
  <c r="C34" i="12"/>
  <c r="C36" i="12" s="1"/>
  <c r="C11" i="13"/>
  <c r="C37" i="12" l="1"/>
  <c r="C38" i="12"/>
  <c r="B37" i="12"/>
  <c r="B38" i="12"/>
  <c r="B39" i="12"/>
  <c r="C14" i="13"/>
  <c r="F11" i="13"/>
  <c r="D15" i="13"/>
  <c r="C13" i="13"/>
  <c r="F10" i="13"/>
  <c r="C12" i="13"/>
  <c r="A21" i="13"/>
  <c r="D46" i="11"/>
  <c r="C47" i="11"/>
  <c r="D36" i="12"/>
  <c r="E13" i="13"/>
  <c r="D34" i="12"/>
  <c r="D47" i="11"/>
  <c r="C48" i="11"/>
  <c r="D38" i="12" l="1"/>
  <c r="D37" i="12"/>
  <c r="F12" i="13"/>
  <c r="C15" i="13"/>
  <c r="E48" i="11"/>
  <c r="B49" i="11"/>
  <c r="F13" i="13"/>
  <c r="E15" i="13"/>
  <c r="A20" i="13" s="1"/>
  <c r="E14" i="13"/>
  <c r="F14" i="13" s="1"/>
  <c r="E47" i="11"/>
  <c r="B48" i="11"/>
  <c r="E12" i="13"/>
  <c r="D49" i="11" l="1"/>
  <c r="C50" i="11"/>
  <c r="D48" i="11"/>
  <c r="C49" i="11"/>
  <c r="F15" i="13"/>
  <c r="E50" i="11" l="1"/>
  <c r="B51" i="11"/>
  <c r="E49" i="11"/>
  <c r="B50" i="11"/>
  <c r="D51" i="11" l="1"/>
  <c r="D50" i="11"/>
  <c r="C51" i="11"/>
  <c r="E51" i="11" s="1"/>
</calcChain>
</file>

<file path=xl/sharedStrings.xml><?xml version="1.0" encoding="utf-8"?>
<sst xmlns="http://schemas.openxmlformats.org/spreadsheetml/2006/main" count="684" uniqueCount="399">
  <si>
    <t>T2 – Teoría de Juegos: 3 jugadores y competencias de empresas</t>
  </si>
  <si>
    <t>Mapa de la lista de cotejo → hoja del libro</t>
  </si>
  <si>
    <t>Criterio</t>
  </si>
  <si>
    <t>Puntos</t>
  </si>
  <si>
    <t>Hoja(s)</t>
  </si>
  <si>
    <t>Qué mostrar en el Word</t>
  </si>
  <si>
    <t>Empresa</t>
  </si>
  <si>
    <t>Empresas</t>
  </si>
  <si>
    <t>Descripción de los tres negocios y de por qué compiten (mismo rubro, mismo cliente).</t>
  </si>
  <si>
    <t>Matriz 3J – Datos cuantitativos</t>
  </si>
  <si>
    <t>Ventas_*, Datos_3J</t>
  </si>
  <si>
    <t>Ventas diarias, precios, costos; ingreso mensual por empresa y producto.</t>
  </si>
  <si>
    <t>Matriz 3J – Proceso de cada terna</t>
  </si>
  <si>
    <t>Terna_Proceso</t>
  </si>
  <si>
    <t>Participaciones, reparto del ingreso de quien sale, fórmula de las 8 ternas.</t>
  </si>
  <si>
    <t>Matriz 3J – Suma nula e interpretación</t>
  </si>
  <si>
    <t>Matriz_3J</t>
  </si>
  <si>
    <t>Matriz original y suma nula, mejores respuestas, Nash y lectura de 3 ternas.</t>
  </si>
  <si>
    <t>Competencia – Datos cuantitativos</t>
  </si>
  <si>
    <t>Datos_Comp</t>
  </si>
  <si>
    <t>30 observaciones emparejadas (q1,q2,p1,p2) y costos.</t>
  </si>
  <si>
    <t>Competencia – Generación de funciones</t>
  </si>
  <si>
    <t>Regresión</t>
  </si>
  <si>
    <t>Ecuaciones normales, Gauss-Jordan, comparación con LINEST, R².</t>
  </si>
  <si>
    <t>Competencia – Solución no cooperativa</t>
  </si>
  <si>
    <t>Nash</t>
  </si>
  <si>
    <t>FOC, curvas de reacción, equilibrio, 2º orden, gráfico.</t>
  </si>
  <si>
    <t>Competencia – Solución cooperativa</t>
  </si>
  <si>
    <t>Cooperativa</t>
  </si>
  <si>
    <t>Maximización de u1+u2, comparación con Nash, tentación de desviarse.</t>
  </si>
  <si>
    <t>Competencia – Análisis comparativo</t>
  </si>
  <si>
    <t>Comparativo</t>
  </si>
  <si>
    <t>Observado vs. Nash vs. cooperativo (S/ por día y por mes).</t>
  </si>
  <si>
    <t>Conclusiones</t>
  </si>
  <si>
    <t>Resumen_Word</t>
  </si>
  <si>
    <t>Cifras clave para redactar conclusiones.</t>
  </si>
  <si>
    <t>Cómo leer el libro</t>
  </si>
  <si>
    <t>Azul</t>
  </si>
  <si>
    <t>Dato de entrada (editable): ventas, precios, costos, series de precio, parámetros.</t>
  </si>
  <si>
    <t>Negro</t>
  </si>
  <si>
    <t>Fórmula calculada en la misma hoja.</t>
  </si>
  <si>
    <t>Verde</t>
  </si>
  <si>
    <t>Vínculo a otra hoja.</t>
  </si>
  <si>
    <t>Amarillo</t>
  </si>
  <si>
    <t>Campo por completar con información propia del negocio.</t>
  </si>
  <si>
    <t>Supuestos y límites del modelo</t>
  </si>
  <si>
    <t>Juego de 3 jugadores: cada empresa decide si OFRECE o NO el producto en disputa; pago = ingreso mensual menos la base media (suma nula), como en la guía de la semana 7/8.</t>
  </si>
  <si>
    <t>Competencia en CANTIDADES (Cournot): la teoría de las semanas 8 y 9 es idéntica para precios y cantidades; se eligió cantidades porque el dato observable de cada bodega es lo vendido por día.</t>
  </si>
  <si>
    <t>Funciones de demanda inversa p_i = α_i + β_i·q_i + γ_i·q_j estimadas con 30 observaciones emparejadas por número de día (los negocios no se midieron en las mismas fechas).</t>
  </si>
  <si>
    <t>Precios de venta, costos unitarios y la serie diaria de precios son supuestos de referencia editables (hojas Datos_3J y Datos_Comp); si se reemplazan por datos propios, todo el libro se recalcula.</t>
  </si>
  <si>
    <t>Utilidad = (precio − costo)·cantidad; no se incluyen costos fijos.</t>
  </si>
  <si>
    <t>Empresas analizadas</t>
  </si>
  <si>
    <t>Tres negocios del mismo rubro (comercio minorista de abarrotes) que compiten por el mismo cliente de barrio.</t>
  </si>
  <si>
    <t>Campo</t>
  </si>
  <si>
    <t>Bodega La Esquina de Ana</t>
  </si>
  <si>
    <t>Berry Blue</t>
  </si>
  <si>
    <t>Bodega Martina</t>
  </si>
  <si>
    <t>Bodega "La Esquina de Ana"</t>
  </si>
  <si>
    <t>Fuente de Soda Berry Blue</t>
  </si>
  <si>
    <t>Ubicación</t>
  </si>
  <si>
    <t>[completar]</t>
  </si>
  <si>
    <t>Los Olivos, Lima, Perú</t>
  </si>
  <si>
    <t>Formalidad / registro</t>
  </si>
  <si>
    <t>Negocio familiar; las cifras provienen del registro propio de ventas</t>
  </si>
  <si>
    <t>Fundación e historia</t>
  </si>
  <si>
    <t>Fundado en 2022. Fuente de soda que ofrece diversidad de productos alimentarios.</t>
  </si>
  <si>
    <t>Rubro</t>
  </si>
  <si>
    <t>Comercio minorista – abarrotes</t>
  </si>
  <si>
    <t>Productos analizados</t>
  </si>
  <si>
    <t>Aceite, Atún, Gaseosa, Cerveza, Snacks, Azúcar y Leche</t>
  </si>
  <si>
    <t>Proveedores</t>
  </si>
  <si>
    <t>Proveedores y mercados mayoristas</t>
  </si>
  <si>
    <t>Clientes</t>
  </si>
  <si>
    <t>En su mayoría personas al paso</t>
  </si>
  <si>
    <t>Unidad de medida</t>
  </si>
  <si>
    <t>Unidades vendidas por día</t>
  </si>
  <si>
    <t>Periodo de datos</t>
  </si>
  <si>
    <t>30 días – del 28 de junio al 27 de julio de 2025</t>
  </si>
  <si>
    <t>31 días – del 01 al 31 de agosto de 2026</t>
  </si>
  <si>
    <t>30 días – del 01 al 30 de setiembre de 2026</t>
  </si>
  <si>
    <t>Indicadores calculados desde las ventas</t>
  </si>
  <si>
    <t>Venta media diaria (todas las unidades)</t>
  </si>
  <si>
    <t>Producto más vendido (unid/día)</t>
  </si>
  <si>
    <t>Producto en disputa (k)</t>
  </si>
  <si>
    <t>Ventas diarias medias de k (unid)</t>
  </si>
  <si>
    <t>Participación de k en el ingreso mensual</t>
  </si>
  <si>
    <t>Ingreso mensual estimado (S/)</t>
  </si>
  <si>
    <t>Las celdas amarillas con [completar] deben llenarse con la información propia de cada negocio antes de pasar al Word.</t>
  </si>
  <si>
    <t>Ventas diarias – Bodega La Esquina de Ana</t>
  </si>
  <si>
    <t>Estadístico</t>
  </si>
  <si>
    <t>Aceite</t>
  </si>
  <si>
    <t>Atún</t>
  </si>
  <si>
    <t>Gaseosa</t>
  </si>
  <si>
    <t>Cerveza</t>
  </si>
  <si>
    <t>Snacks</t>
  </si>
  <si>
    <t>Azúcar</t>
  </si>
  <si>
    <t>Leche</t>
  </si>
  <si>
    <t>Total día</t>
  </si>
  <si>
    <t>Media</t>
  </si>
  <si>
    <t>Mediana</t>
  </si>
  <si>
    <t>Desv. estándar (muestral)</t>
  </si>
  <si>
    <t>Mínimo</t>
  </si>
  <si>
    <t>Máximo</t>
  </si>
  <si>
    <t>Coef. de variación</t>
  </si>
  <si>
    <t>Registro diario</t>
  </si>
  <si>
    <t>N° día</t>
  </si>
  <si>
    <t>Fecha</t>
  </si>
  <si>
    <t>Día</t>
  </si>
  <si>
    <t>Ventas diarias – Berry Blue</t>
  </si>
  <si>
    <t>Ventas diarias – Bodega Martina</t>
  </si>
  <si>
    <t>Datos cuantitativos – Matriz de 3 jugadores</t>
  </si>
  <si>
    <t>Precios, costos, volumen medio diario, volumen mensual e ingreso mensual por empresa y producto.</t>
  </si>
  <si>
    <t>Días por mes</t>
  </si>
  <si>
    <t>Celdas azules = datos editables. Cambiar B5 recalcula todo el libro con otro producto en disputa.</t>
  </si>
  <si>
    <t>Posición de k en la lista</t>
  </si>
  <si>
    <t>1. Precio de venta unitario (S/ por unidad)</t>
  </si>
  <si>
    <t>Producto</t>
  </si>
  <si>
    <t>Ana</t>
  </si>
  <si>
    <t>Berry</t>
  </si>
  <si>
    <t>Martina</t>
  </si>
  <si>
    <t>Presentación de referencia</t>
  </si>
  <si>
    <t>Aceite vegetal 1 L (Primor / Cocinero)</t>
  </si>
  <si>
    <t>Atún en filete 170 g (Florida / Campomar)</t>
  </si>
  <si>
    <t>Gaseosa personal 500 ml (Guaraná / Coca-Cola)</t>
  </si>
  <si>
    <t>Cerveza 620 ml (Cristal / Pilsen)</t>
  </si>
  <si>
    <t>Snack 35–40 g (Lay's / Piqueo)</t>
  </si>
  <si>
    <t>Azúcar rubia 1 kg (Paramonga / Cartavio)</t>
  </si>
  <si>
    <t>Leche evaporada 400 g (Gloria)</t>
  </si>
  <si>
    <t>2. Costo unitario de compra (S/ por unidad)</t>
  </si>
  <si>
    <t>3. Margen unitario (S/) = precio − costo</t>
  </si>
  <si>
    <t>4. Volumen medio diario (unidades/día) – vinculado a las hojas Ventas_*</t>
  </si>
  <si>
    <t>Total</t>
  </si>
  <si>
    <t>5. Volumen mensual (unidades) = media diaria × días por mes</t>
  </si>
  <si>
    <t>6. Ingreso mensual (S/) = volumen mensual × precio</t>
  </si>
  <si>
    <t>Precios y costos: valores de referencia de mercado minorista (S/ por unidad); son supuestos editables, no cifras de un tercero. Volúmenes: datos diarios de cada negocio (hojas Ventas_*).</t>
  </si>
  <si>
    <t>Proceso de generación de cada terna (3 jugadores)</t>
  </si>
  <si>
    <t>Juego: cada empresa decide si OFRECE o NO el producto en disputa (k). Si una sale, su venta de k se reparte entre las que sí ofrecen, según su participación.</t>
  </si>
  <si>
    <t>Producto en disputa (k):</t>
  </si>
  <si>
    <t>Paso 1 – Ingreso mensual (S/): producto k vs. resto de productos</t>
  </si>
  <si>
    <t>Concepto</t>
  </si>
  <si>
    <t>Ingreso en k  (Rk)</t>
  </si>
  <si>
    <t>Ingreso en el resto de productos  (Ro)</t>
  </si>
  <si>
    <t>Ingreso total (todos ofrecen)</t>
  </si>
  <si>
    <t>Participación en k</t>
  </si>
  <si>
    <t>Paso 2 – Participación en k cuando una empresa NO ofrece (se reparte entre las que quedan)</t>
  </si>
  <si>
    <t>Escenario</t>
  </si>
  <si>
    <t>Suma</t>
  </si>
  <si>
    <t>Todos ofrecen</t>
  </si>
  <si>
    <t>Ana NO ofrece</t>
  </si>
  <si>
    <t>Berry NO ofrece</t>
  </si>
  <si>
    <t>Martina NO ofrece</t>
  </si>
  <si>
    <t>Paso 3 – Reparto (S/) del ingreso en k de la empresa que sale</t>
  </si>
  <si>
    <t>Suma (= Rk de quien sale)</t>
  </si>
  <si>
    <t>Lectura: la fila de cada escenario muestra a quién se le transfiere la venta de k de la empresa que sale (la propia empresa recibe 0).</t>
  </si>
  <si>
    <t>Paso 4 – Las 8 ternas: ingreso original (V) y pago suma nula (u = V − base media)</t>
  </si>
  <si>
    <t>Perfil (decisiones)</t>
  </si>
  <si>
    <t>Ana (1=ofrece)</t>
  </si>
  <si>
    <t>Clave</t>
  </si>
  <si>
    <t>S = Σ Rk de quienes ofrecen</t>
  </si>
  <si>
    <t>Pool = Rk de quienes salen</t>
  </si>
  <si>
    <t>V Ana</t>
  </si>
  <si>
    <t>V Berry</t>
  </si>
  <si>
    <t>V Martina</t>
  </si>
  <si>
    <t>Base media</t>
  </si>
  <si>
    <t>u Ana</t>
  </si>
  <si>
    <t>u Berry</t>
  </si>
  <si>
    <t>u Martina</t>
  </si>
  <si>
    <t>Control Σu=0</t>
  </si>
  <si>
    <t>Terna suma nula (Ana; Berry; Martina)</t>
  </si>
  <si>
    <t>u Ana si cambia</t>
  </si>
  <si>
    <t>u Berry si cambia</t>
  </si>
  <si>
    <t>u Martina si cambia</t>
  </si>
  <si>
    <t>¿Ana mejor resp.?</t>
  </si>
  <si>
    <t>¿Berry mejor resp.?</t>
  </si>
  <si>
    <t>¿Martina mejor resp.?</t>
  </si>
  <si>
    <t>Equilibrio de Nash</t>
  </si>
  <si>
    <t>Fórmula del pago original: V_i = f_i · ( Rk_i + Pool · Rk_i / S ) + Ro_i  → si la empresa i no ofrece (f_i = 0) pierde su Rk y conserva Ro; si ofrece, recibe además su cuota (Rk_i/S) del pool de las que salieron. Base media = Total/3 y u_i = V_i − Base media, de modo que Σu = 0 (suma nula). Cuando nadie ofrece (S = 0) no hay a quién transferir y la base media se calcula con el total de esa terna.</t>
  </si>
  <si>
    <t>Nash: ninguna empresa gana cambiando sola su decisión (columnas U–W = 1 para las tres). Se compara el pago actual con el pago de la terna vecina (clave con ese dígito invertido).</t>
  </si>
  <si>
    <t>Matriz de pagos de 3 jugadores – suma nula</t>
  </si>
  <si>
    <t>J1 = Ana (filas) · J2 = Berry (columnas) · J3 = Martina (bloque). Cada celda es una terna (u Ana; u Berry; u Martina) en S/ por mes respecto a la base media.</t>
  </si>
  <si>
    <t>A. Matriz ORIGINAL – ingreso mensual V (S/) de cada empresa</t>
  </si>
  <si>
    <t>J3: Martina OFRECE</t>
  </si>
  <si>
    <t>J2: Berry OFRECE</t>
  </si>
  <si>
    <t>J2: Berry NO OFRECE</t>
  </si>
  <si>
    <t>J1: Ana OFRECE</t>
  </si>
  <si>
    <t>J1: Ana NO OFRECE</t>
  </si>
  <si>
    <t>J3: Martina NO OFRECE</t>
  </si>
  <si>
    <t>B. Matriz SUMA NULA – u = V − base media (S/)</t>
  </si>
  <si>
    <t>C. Mejores respuestas (por qué la terna de equilibrio es la que es)</t>
  </si>
  <si>
    <t>Jugador</t>
  </si>
  <si>
    <t>Los otros dos hacen…</t>
  </si>
  <si>
    <t>Pago si OFRECE</t>
  </si>
  <si>
    <t>Pago si NO ofrece</t>
  </si>
  <si>
    <t>Mejor respuesta</t>
  </si>
  <si>
    <t>Ventaja de ofrecer (S/)</t>
  </si>
  <si>
    <t>Berry ofrece, Martina ofrece</t>
  </si>
  <si>
    <t>Berry ofrece, Martina NO ofrece</t>
  </si>
  <si>
    <t>Berry NO ofrece, Martina ofrece</t>
  </si>
  <si>
    <t>Berry NO ofrece, Martina NO ofrece</t>
  </si>
  <si>
    <t>Ana ofrece, Martina ofrece</t>
  </si>
  <si>
    <t>Ana ofrece, Martina NO ofrece</t>
  </si>
  <si>
    <t>Ana NO ofrece, Martina ofrece</t>
  </si>
  <si>
    <t>Ana NO ofrece, Martina NO ofrece</t>
  </si>
  <si>
    <t>Ana ofrece, Berry ofrece</t>
  </si>
  <si>
    <t>Ana ofrece, Berry NO ofrece</t>
  </si>
  <si>
    <t>Ana NO ofrece, Berry ofrece</t>
  </si>
  <si>
    <t>Ana NO ofrece, Berry NO ofrece</t>
  </si>
  <si>
    <t>¿Ofrecer es estrategia dominante para los tres?</t>
  </si>
  <si>
    <t>D. Interpretación de 3 ternas (texto con cifras vinculadas)</t>
  </si>
  <si>
    <t>Terna 1 – Todos ofrecen (equilibrio)</t>
  </si>
  <si>
    <t>Cada empresa conserva su propia venta de k; nadie transfiere ventas. Las diferencias vienen sólo del tamaño de cada negocio respecto a la media del mercado.</t>
  </si>
  <si>
    <t>Terna 2 – Ana sale de k</t>
  </si>
  <si>
    <t>Ana pierde su venta de k y la transfieren Berry y Martina según su cuota: salir es castigado y beneficia a los rivales.</t>
  </si>
  <si>
    <t>Terna 3 – Nadie ofrece k</t>
  </si>
  <si>
    <t>El mercado de k desaparece y cada empresa se queda sólo con el resto de productos; es una terna posible pero inestable: cualquiera que vuelva a ofrecer k captura todo el mercado de k.</t>
  </si>
  <si>
    <t>Datos cuantitativos – Competencia entre empresas (cantidades)</t>
  </si>
  <si>
    <t>Ana (J1) vs. Berry Blue (J2) en el producto en disputa. Cada fila empareja el día N° de cada negocio (30 días).</t>
  </si>
  <si>
    <t>Producto en disputa</t>
  </si>
  <si>
    <t>Cantidades q: unidades vendidas por día (hojas Ventas_*). Precios p: precio de venta registrado cada día (S/, entrada en azul; varía por promociones de fin de semana y cambios de lista). Utilidad diaria observada = (p − c)·q.</t>
  </si>
  <si>
    <t>Costo unitario Ana c1 (S/)</t>
  </si>
  <si>
    <t>Costo unitario Berry c2 (S/)</t>
  </si>
  <si>
    <t>Precio de lista Ana / Berry (S/)</t>
  </si>
  <si>
    <t>Serie diaria</t>
  </si>
  <si>
    <t>Fecha Ana</t>
  </si>
  <si>
    <t>Fecha Berry</t>
  </si>
  <si>
    <t>q1 Ana (unid/día)</t>
  </si>
  <si>
    <t>q2 Berry (unid/día)</t>
  </si>
  <si>
    <t>p1 Ana (S/)</t>
  </si>
  <si>
    <t>p2 Berry (S/)</t>
  </si>
  <si>
    <t>u1 observada (S/)</t>
  </si>
  <si>
    <t>u2 observada (S/)</t>
  </si>
  <si>
    <t>p̂1 ajustado</t>
  </si>
  <si>
    <t>p̂2 ajustado</t>
  </si>
  <si>
    <t>Desv. estándar</t>
  </si>
  <si>
    <t>Limitación: las dos series provienen de negocios y calendarios distintos; se emparejan por número de día para tener observaciones conjuntas (q1,q2,p1,p2). Con más tiempo, lo ideal es medir ambos negocios en las mismas fechas.</t>
  </si>
  <si>
    <t>Generación de las funciones de demanda inversa (regresión lineal múltiple)</t>
  </si>
  <si>
    <t>p_i = α_i + β_i·q_i + γ_i·q_j · Ecuaciones normales resueltas por Gauss-Jordan y verificadas con LINEST.</t>
  </si>
  <si>
    <t>Sumas necesarias (n = 30 observaciones)</t>
  </si>
  <si>
    <t>n</t>
  </si>
  <si>
    <t>Σ q1</t>
  </si>
  <si>
    <t>Σ q2</t>
  </si>
  <si>
    <t>Σ q1²</t>
  </si>
  <si>
    <t>Σ q2²</t>
  </si>
  <si>
    <t>Σ q1·q2</t>
  </si>
  <si>
    <t>Σ p1</t>
  </si>
  <si>
    <t>Σ p1·q1</t>
  </si>
  <si>
    <t>Σ p1·q2</t>
  </si>
  <si>
    <t>Σ p2</t>
  </si>
  <si>
    <t>Σ p2·q1</t>
  </si>
  <si>
    <t>Σ p2·q2</t>
  </si>
  <si>
    <t>Regresión 1 – Ana:  p1 = α1 + β1·q1 + γ1·q2</t>
  </si>
  <si>
    <t>Regresión 2 – Berry:  p2 = α2 + β2·q2 + γ2·q1</t>
  </si>
  <si>
    <t>Matriz aumentada [X'X | X'y]</t>
  </si>
  <si>
    <t>α</t>
  </si>
  <si>
    <t>β (q propia)</t>
  </si>
  <si>
    <t>γ (q rival)</t>
  </si>
  <si>
    <t>término indep. (b)</t>
  </si>
  <si>
    <t>F1</t>
  </si>
  <si>
    <t>F2</t>
  </si>
  <si>
    <t>F3</t>
  </si>
  <si>
    <t>Paso 1: pivote en F1 (F1 ÷ pivote; F2,F3 − factor·F1)</t>
  </si>
  <si>
    <t>Paso 2: pivote en F2</t>
  </si>
  <si>
    <t>Paso 3: pivote en F3 → columna derecha = solución</t>
  </si>
  <si>
    <t>Resultados Regresión 1 – Ana</t>
  </si>
  <si>
    <t>Parámetro</t>
  </si>
  <si>
    <t>Gauss-Jordan</t>
  </si>
  <si>
    <t>LINEST (control)</t>
  </si>
  <si>
    <t>Diferencia</t>
  </si>
  <si>
    <t>Error estándar</t>
  </si>
  <si>
    <t>Estadístico t</t>
  </si>
  <si>
    <t>Lectura económica</t>
  </si>
  <si>
    <t>α (intercepto)</t>
  </si>
  <si>
    <t>Precio al que se vendería con q=0 (techo de la demanda)</t>
  </si>
  <si>
    <t>β (efecto de la q propia)</t>
  </si>
  <si>
    <t>Pendiente propia: vender más obliga a bajar el precio</t>
  </si>
  <si>
    <t>γ (efecto de la q del rival)</t>
  </si>
  <si>
    <t>Rival vende más → mi precio cae (bienes sustitutos)</t>
  </si>
  <si>
    <t>R²</t>
  </si>
  <si>
    <t>Proporción de la variación del precio explicada por q1 y q2</t>
  </si>
  <si>
    <t>Error estándar de la regresión (S/)</t>
  </si>
  <si>
    <t>Signos esperados (β&lt;0 y γ&lt;0)</t>
  </si>
  <si>
    <t>Resultados Regresión 2 – Berry</t>
  </si>
  <si>
    <t>Solución no cooperativa (Cournot en cantidades)</t>
  </si>
  <si>
    <t>Cada empresa elige su cantidad maximizando su propia utilidad, tomando como dada la del rival. Equilibrio de Nash = intersección de las curvas de reacción.</t>
  </si>
  <si>
    <t>1. Parámetros (vinculados a Regresión y Datos_Comp)</t>
  </si>
  <si>
    <t>Ana (J1)</t>
  </si>
  <si>
    <t>Valor</t>
  </si>
  <si>
    <t>Berry (J2)</t>
  </si>
  <si>
    <t>α1</t>
  </si>
  <si>
    <t>α2</t>
  </si>
  <si>
    <t>β1 (q propia)</t>
  </si>
  <si>
    <t>β2 (q propia)</t>
  </si>
  <si>
    <t>γ1 (q del rival)</t>
  </si>
  <si>
    <t>γ2 (q del rival)</t>
  </si>
  <si>
    <t>c1 (costo unitario)</t>
  </si>
  <si>
    <t>c2 (costo unitario)</t>
  </si>
  <si>
    <t>a1 = α1 − c1</t>
  </si>
  <si>
    <t>a2 = α2 − c2</t>
  </si>
  <si>
    <t>2. Funciones de utilidad y condiciones de primer orden</t>
  </si>
  <si>
    <t>u1 = (p1 − c1)·q1  =  a1·q1 + β1·q1² + γ1·q1·q2</t>
  </si>
  <si>
    <t>u2 = (p2 − c2)·q2  =  a2·q2 + β2·q2² + γ2·q1·q2</t>
  </si>
  <si>
    <t>∂u1/∂q1 = a1 + 2β1·q1 + γ1·q2 = 0</t>
  </si>
  <si>
    <t>∂u2/∂q2 = a2 + 2β2·q2 + γ2·q1 = 0</t>
  </si>
  <si>
    <t>Curva de reacción: R1(q2) = −(a1 + γ1·q2)/(2β1)</t>
  </si>
  <si>
    <t>Curva de reacción: R2(q1) = −(a2 + γ2·q1)/(2β2)</t>
  </si>
  <si>
    <t>Curva</t>
  </si>
  <si>
    <t>Intercepto r0</t>
  </si>
  <si>
    <t>Pendiente r1</t>
  </si>
  <si>
    <t>R(q) = r0 + r1·q_rival</t>
  </si>
  <si>
    <t>R1 (Ana)</t>
  </si>
  <si>
    <t>R2 (Berry)</t>
  </si>
  <si>
    <t>3. Equilibrio de Nash (cantidades por día)</t>
  </si>
  <si>
    <t>Resultado</t>
  </si>
  <si>
    <t>Curvas de reacción</t>
  </si>
  <si>
    <t>Control: Cramer</t>
  </si>
  <si>
    <t>q1* Ana (unid/día)</t>
  </si>
  <si>
    <t>q2* Berry (unid/día)</t>
  </si>
  <si>
    <t>p1* Ana (S/)</t>
  </si>
  <si>
    <t>p2* Berry (S/)</t>
  </si>
  <si>
    <t>u1* Ana (S/ por día)</t>
  </si>
  <si>
    <t>u2* Berry (S/ por día)</t>
  </si>
  <si>
    <t>u1* + u2* (S/ por día)</t>
  </si>
  <si>
    <t>Residuo FOC Ana (debe ser 0)</t>
  </si>
  <si>
    <t>Residuo FOC Berry (debe ser 0)</t>
  </si>
  <si>
    <t>4. Condiciones de segundo orden y estabilidad</t>
  </si>
  <si>
    <t>∂²u1/∂q1² = 2β1  (&lt;0 → máximo)</t>
  </si>
  <si>
    <t>∂²u2/∂q2² = 2β2  (&lt;0 → máximo)</t>
  </si>
  <si>
    <t>|r1(R1)·r1(R2)|  (&lt;1 → estable)</t>
  </si>
  <si>
    <t>4β1β2 − γ1γ2  (&gt;0 → solución única)</t>
  </si>
  <si>
    <t>5. Cómo llegan a Nash: mejores respuestas sucesivas (partiendo de las medias observadas)</t>
  </si>
  <si>
    <t>Ronda</t>
  </si>
  <si>
    <t>q1</t>
  </si>
  <si>
    <t>q2</t>
  </si>
  <si>
    <t>|Δq1|</t>
  </si>
  <si>
    <t>|Δq2|</t>
  </si>
  <si>
    <t>6. Datos del gráfico de curvas de reacción</t>
  </si>
  <si>
    <t>q2 (malla)</t>
  </si>
  <si>
    <t>q1 = R1(q2)</t>
  </si>
  <si>
    <t>q1 (malla)</t>
  </si>
  <si>
    <t>q2 = R2(q1)</t>
  </si>
  <si>
    <t>Cooperativo</t>
  </si>
  <si>
    <t>Media observada</t>
  </si>
  <si>
    <t>Solución cooperativa (maximizar la utilidad conjunta)</t>
  </si>
  <si>
    <t>Las dos empresas eligen (q1, q2) para maximizar U = u1 + u2, internalizando el daño que cada una causa a la otra.</t>
  </si>
  <si>
    <t>1. Parámetros</t>
  </si>
  <si>
    <t>β1</t>
  </si>
  <si>
    <t>β2</t>
  </si>
  <si>
    <t>Γ = γ1 + γ2</t>
  </si>
  <si>
    <t>2. Problema y condiciones de primer orden</t>
  </si>
  <si>
    <t>U = u1 + u2 = a1·q1 + a2·q2 + β1·q1² + β2·q2² + (γ1+γ2)·q1·q2</t>
  </si>
  <si>
    <t>∂U/∂q1 = a1 + 2β1·q1 + Γ·q2 = 0     ;     ∂U/∂q2 = a2 + 2β2·q2 + Γ·q1 = 0</t>
  </si>
  <si>
    <t>Sistema lineal</t>
  </si>
  <si>
    <t>Ecuación 1</t>
  </si>
  <si>
    <t>Ecuación 2</t>
  </si>
  <si>
    <t>Determinante = 4β1β2 − Γ²</t>
  </si>
  <si>
    <t>3. Solución cooperativa (por día) – regla de Cramer</t>
  </si>
  <si>
    <t>q1c Ana (unid/día)</t>
  </si>
  <si>
    <t>q2c Berry (unid/día)</t>
  </si>
  <si>
    <t>p1c Ana (S/)</t>
  </si>
  <si>
    <t>p2c Berry (S/)</t>
  </si>
  <si>
    <t>u1c Ana (S/ por día)</t>
  </si>
  <si>
    <t>u2c Berry (S/ por día)</t>
  </si>
  <si>
    <t>Uc = u1c + u2c (S/ por día)</t>
  </si>
  <si>
    <t>Residuo FOC 1 / FOC 2</t>
  </si>
  <si>
    <t>4. Segundo orden</t>
  </si>
  <si>
    <t>2β1 &lt; 0 y 2β2 &lt; 0 y determinante &gt; 0</t>
  </si>
  <si>
    <t>5. Cooperación vs. Nash (por día)</t>
  </si>
  <si>
    <t>Indicador</t>
  </si>
  <si>
    <t>Conjunto</t>
  </si>
  <si>
    <t>Utilidad Nash</t>
  </si>
  <si>
    <t>Utilidad cooperativa</t>
  </si>
  <si>
    <t>Ganancia (S/ por día)</t>
  </si>
  <si>
    <t>Ganancia (%)</t>
  </si>
  <si>
    <t>Ganancia mensual (S/)</t>
  </si>
  <si>
    <t>¿Mejora de Pareto?</t>
  </si>
  <si>
    <t>6. ¿Es sostenible? Incentivo a desviarse del acuerdo</t>
  </si>
  <si>
    <t>Si…</t>
  </si>
  <si>
    <t>Se desvía a q (mejor resp.)</t>
  </si>
  <si>
    <t>Utilidad del que se desvía</t>
  </si>
  <si>
    <t>Utilidad del rival</t>
  </si>
  <si>
    <t>Ganancia por desviarse</t>
  </si>
  <si>
    <t>Ana se desvía (Berry cumple q2c)</t>
  </si>
  <si>
    <t>Berry se desvía (Ana cumple q1c)</t>
  </si>
  <si>
    <t>Si la ganancia por desviarse es positiva, el acuerdo no se sostiene solo (dilema del prisionero): hace falta repetir el juego, vigilar o castigar. Es la lógica de los juegos repetidos vista en clase.</t>
  </si>
  <si>
    <t>Análisis comparativo: observado vs. Nash vs. cooperativo</t>
  </si>
  <si>
    <t>Valores por día (salvo que se indique). Observado = promedio de los 30 días de la muestra.</t>
  </si>
  <si>
    <t>Observado (media 30 días)</t>
  </si>
  <si>
    <t>Nash (no cooperativo)</t>
  </si>
  <si>
    <t>Coop − Nash</t>
  </si>
  <si>
    <t>Coop vs. Nash (%)</t>
  </si>
  <si>
    <t>Q total (unid/día)</t>
  </si>
  <si>
    <t>u1 Ana (S/ por día)</t>
  </si>
  <si>
    <t>u2 Berry (S/ por día)</t>
  </si>
  <si>
    <t>U conjunta (S/ por día)</t>
  </si>
  <si>
    <t>u1 Ana (S/ por mes)</t>
  </si>
  <si>
    <t>u2 Berry (S/ por mes)</t>
  </si>
  <si>
    <t>U conjunta (S/ por mes)</t>
  </si>
  <si>
    <t>Lectura (texto con cifras vinculadas)</t>
  </si>
  <si>
    <t>Libro de cálculo que respalda el informe en Word.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</si>
</sst>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0.0"/>
    <numFmt numFmtId="165" formatCode="0.0%"/>
    <numFmt numFmtId="166" formatCode="0.0000"/>
    <numFmt numFmtId="167" formatCode="0.0E+00"/>
    <numFmt numFmtId="168" formatCode="0.000"/>
    <numFmt numFmtId="169" formatCode="\+0.00;\-0.00"/>
    <numFmt numFmtId="170" formatCode="\+0.0%;\-0.0%"/>
    <numFmt numFmtId="171" formatCode="\+#,##0;\-#,##0"/>
  </numFmts>
  <fonts count="14" x14ac:knownFonts="1">
    <font>
      <sz val="11"/>
      <color theme="1"/>
      <name val="Calibri"/>
      <family val="2"/>
      <charset val="1"/>
    </font>
    <font>
      <b/>
      <sz val="14"/>
      <color rgb="FF7B1E3A"/>
      <name val="Arial"/>
      <charset val="1"/>
    </font>
    <font>
      <i/>
      <sz val="10"/>
      <color rgb="FF595959"/>
      <name val="Arial"/>
      <charset val="1"/>
    </font>
    <font>
      <b/>
      <sz val="10"/>
      <color rgb="FF000000"/>
      <name val="Arial"/>
      <charset val="1"/>
    </font>
    <font>
      <b/>
      <sz val="10"/>
      <color rgb="FF008000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FF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i/>
      <sz val="9"/>
      <color rgb="FF595959"/>
      <name val="Arial"/>
      <charset val="1"/>
    </font>
    <font>
      <i/>
      <sz val="10"/>
      <color rgb="FF000000"/>
      <name val="Arial"/>
      <charset val="1"/>
    </font>
    <font>
      <b/>
      <sz val="9"/>
      <color rgb="FF7B1E3A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6E9EC"/>
        <bgColor rgb="FFF9F9F9"/>
      </patternFill>
    </fill>
    <fill>
      <patternFill patternType="solid">
        <fgColor rgb="FF7B1E3A"/>
        <bgColor rgb="FF660066"/>
      </patternFill>
    </fill>
    <fill>
      <patternFill patternType="solid">
        <fgColor rgb="FFFFF2CC"/>
        <bgColor rgb="FFF6E9EC"/>
      </patternFill>
    </fill>
    <fill>
      <patternFill patternType="solid">
        <fgColor rgb="FFE8C9D1"/>
        <bgColor rgb="FFF8CBA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 applyAlignment="1">
      <alignment horizontal="center" vertical="center"/>
    </xf>
    <xf numFmtId="0" fontId="5" fillId="3" borderId="0" xfId="0" applyFont="1" applyFill="1"/>
    <xf numFmtId="0" fontId="0" fillId="3" borderId="0" xfId="0" applyFill="1"/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/>
    <xf numFmtId="0" fontId="7" fillId="0" borderId="1" xfId="0" applyFont="1" applyBorder="1" applyAlignment="1">
      <alignment vertical="center" wrapText="1"/>
    </xf>
    <xf numFmtId="0" fontId="8" fillId="0" borderId="1" xfId="0" applyFont="1" applyBorder="1"/>
    <xf numFmtId="0" fontId="4" fillId="0" borderId="1" xfId="0" applyFont="1" applyBorder="1"/>
    <xf numFmtId="0" fontId="3" fillId="4" borderId="1" xfId="0" applyFont="1" applyFill="1" applyBorder="1"/>
    <xf numFmtId="0" fontId="9" fillId="0" borderId="1" xfId="0" applyFont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164" fontId="10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/>
    <xf numFmtId="2" fontId="7" fillId="0" borderId="1" xfId="0" applyNumberFormat="1" applyFont="1" applyBorder="1"/>
    <xf numFmtId="165" fontId="7" fillId="0" borderId="1" xfId="0" applyNumberFormat="1" applyFont="1" applyBorder="1"/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3" fillId="0" borderId="0" xfId="0" applyFont="1"/>
    <xf numFmtId="3" fontId="3" fillId="0" borderId="1" xfId="0" applyNumberFormat="1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37" fontId="7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7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2" fontId="7" fillId="2" borderId="1" xfId="0" applyNumberFormat="1" applyFont="1" applyFill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166" fontId="10" fillId="0" borderId="1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168" fontId="7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69" fontId="3" fillId="0" borderId="1" xfId="0" applyNumberFormat="1" applyFont="1" applyBorder="1" applyAlignment="1">
      <alignment horizontal="center" vertical="center"/>
    </xf>
    <xf numFmtId="170" fontId="7" fillId="0" borderId="1" xfId="0" applyNumberFormat="1" applyFont="1" applyBorder="1" applyAlignment="1">
      <alignment horizontal="center" vertical="center"/>
    </xf>
    <xf numFmtId="171" fontId="7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16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/>
    <xf numFmtId="0" fontId="11" fillId="0" borderId="0" xfId="0" applyFont="1" applyBorder="1" applyAlignment="1">
      <alignment vertical="top" wrapText="1"/>
    </xf>
    <xf numFmtId="0" fontId="3" fillId="5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3" fillId="2" borderId="1" xfId="0" applyFont="1" applyFill="1" applyBorder="1"/>
    <xf numFmtId="0" fontId="10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3" fillId="0" borderId="1" xfId="0" applyFont="1" applyBorder="1"/>
  </cellXfs>
  <cellStyles count="1">
    <cellStyle name="Normal" xfId="0" builtinId="0"/>
  </cellStyles>
  <dxfs count="1">
    <dxf>
      <fill>
        <patternFill>
          <bgColor rgb="FFE2F0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7B1E3A"/>
      <rgbColor rgb="FFFFF2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E9EC"/>
      <rgbColor rgb="FFE2F0D9"/>
      <rgbColor rgb="FFFFFF99"/>
      <rgbColor rgb="FF99CCFF"/>
      <rgbColor rgb="FFE8C9D1"/>
      <rgbColor rgb="FFCC99FF"/>
      <rgbColor rgb="FFF8CBAD"/>
      <rgbColor rgb="FF4F81BD"/>
      <rgbColor rgb="FF33CCCC"/>
      <rgbColor rgb="FF99CC00"/>
      <rgbColor rgb="FFFFCC00"/>
      <rgbColor rgb="FFF79646"/>
      <rgbColor rgb="FFFF6600"/>
      <rgbColor rgb="FF595959"/>
      <rgbColor rgb="FF878787"/>
      <rgbColor rgb="FF003366"/>
      <rgbColor rgb="FF00A651"/>
      <rgbColor rgb="FF003300"/>
      <rgbColor rgb="FF333300"/>
      <rgbColor rgb="FF993300"/>
      <rgbColor rgb="FFC0504D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Curvas de reacción y equilibrios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R1 (Ana)</c:v>
          </c:tx>
          <c:spPr>
            <a:ln w="21960">
              <a:solidFill>
                <a:srgbClr val="7B1E3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Nash!$B$56:$B$68</c:f>
              <c:numCache>
                <c:formatCode>0.00</c:formatCode>
                <c:ptCount val="13"/>
                <c:pt idx="0">
                  <c:v>19.839114804197951</c:v>
                </c:pt>
                <c:pt idx="1">
                  <c:v>19.36802018431214</c:v>
                </c:pt>
                <c:pt idx="2">
                  <c:v>18.896925564426333</c:v>
                </c:pt>
                <c:pt idx="3">
                  <c:v>18.425830944540522</c:v>
                </c:pt>
                <c:pt idx="4">
                  <c:v>17.954736324654711</c:v>
                </c:pt>
                <c:pt idx="5">
                  <c:v>17.483641704768903</c:v>
                </c:pt>
                <c:pt idx="6">
                  <c:v>17.012547084883092</c:v>
                </c:pt>
                <c:pt idx="7">
                  <c:v>16.541452464997281</c:v>
                </c:pt>
                <c:pt idx="8">
                  <c:v>16.070357845111474</c:v>
                </c:pt>
                <c:pt idx="9">
                  <c:v>15.599263225225663</c:v>
                </c:pt>
                <c:pt idx="10">
                  <c:v>15.128168605339852</c:v>
                </c:pt>
                <c:pt idx="11">
                  <c:v>14.657073985454042</c:v>
                </c:pt>
                <c:pt idx="12">
                  <c:v>14.185979365568233</c:v>
                </c:pt>
              </c:numCache>
            </c:numRef>
          </c:xVal>
          <c:yVal>
            <c:numRef>
              <c:f>Nash!$A$56:$A$68</c:f>
              <c:numCache>
                <c:formatCode>0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21-4B2C-9E3F-58C98590E9BC}"/>
            </c:ext>
          </c:extLst>
        </c:ser>
        <c:ser>
          <c:idx val="1"/>
          <c:order val="1"/>
          <c:tx>
            <c:v>R2 (Berry)</c:v>
          </c:tx>
          <c:spPr>
            <a:ln w="2196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Nash!$C$56:$C$71</c:f>
              <c:numCache>
                <c:formatCode>0</c:formatCode>
                <c:ptCount val="1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</c:numCache>
            </c:numRef>
          </c:xVal>
          <c:yVal>
            <c:numRef>
              <c:f>Nash!$D$56:$D$71</c:f>
              <c:numCache>
                <c:formatCode>0.00</c:formatCode>
                <c:ptCount val="16"/>
                <c:pt idx="0">
                  <c:v>9.5903926832891351</c:v>
                </c:pt>
                <c:pt idx="1">
                  <c:v>9.3045898414662034</c:v>
                </c:pt>
                <c:pt idx="2">
                  <c:v>9.0187869996432699</c:v>
                </c:pt>
                <c:pt idx="3">
                  <c:v>8.7329841578203382</c:v>
                </c:pt>
                <c:pt idx="4">
                  <c:v>8.4471813159974047</c:v>
                </c:pt>
                <c:pt idx="5">
                  <c:v>8.161378474174473</c:v>
                </c:pt>
                <c:pt idx="6">
                  <c:v>7.8755756323515413</c:v>
                </c:pt>
                <c:pt idx="7">
                  <c:v>7.5897727905286088</c:v>
                </c:pt>
                <c:pt idx="8">
                  <c:v>7.3039699487056762</c:v>
                </c:pt>
                <c:pt idx="9">
                  <c:v>7.0181671068827436</c:v>
                </c:pt>
                <c:pt idx="10">
                  <c:v>6.732364265059811</c:v>
                </c:pt>
                <c:pt idx="11">
                  <c:v>6.4465614232368793</c:v>
                </c:pt>
                <c:pt idx="12">
                  <c:v>6.1607585814139467</c:v>
                </c:pt>
                <c:pt idx="13">
                  <c:v>5.8749557395910141</c:v>
                </c:pt>
                <c:pt idx="14">
                  <c:v>5.5891528977680824</c:v>
                </c:pt>
                <c:pt idx="15">
                  <c:v>5.3033500559451499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21-4B2C-9E3F-58C98590E9BC}"/>
            </c:ext>
          </c:extLst>
        </c:ser>
        <c:ser>
          <c:idx val="2"/>
          <c:order val="2"/>
          <c:tx>
            <c:v>Nash</c:v>
          </c:tx>
          <c:spPr>
            <a:ln w="47520">
              <a:noFill/>
            </a:ln>
          </c:spPr>
          <c:marker>
            <c:symbol val="circle"/>
            <c:size val="10"/>
            <c:spPr>
              <a:solidFill>
                <a:srgbClr val="00A65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Nash!$H$56</c:f>
              <c:numCache>
                <c:formatCode>0.00</c:formatCode>
                <c:ptCount val="1"/>
                <c:pt idx="0">
                  <c:v>16.426999502751713</c:v>
                </c:pt>
              </c:numCache>
            </c:numRef>
          </c:xVal>
          <c:yVal>
            <c:numRef>
              <c:f>Nash!$I$56</c:f>
              <c:numCache>
                <c:formatCode>0.00</c:formatCode>
                <c:ptCount val="1"/>
                <c:pt idx="0">
                  <c:v>7.2429511130339668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121-4B2C-9E3F-58C98590E9BC}"/>
            </c:ext>
          </c:extLst>
        </c:ser>
        <c:ser>
          <c:idx val="3"/>
          <c:order val="3"/>
          <c:tx>
            <c:v>Cooperativo</c:v>
          </c:tx>
          <c:spPr>
            <a:ln w="47520">
              <a:noFill/>
            </a:ln>
          </c:spPr>
          <c:marker>
            <c:symbol val="circle"/>
            <c:size val="10"/>
            <c:spPr>
              <a:solidFill>
                <a:srgbClr val="F7964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Nash!$H$57</c:f>
              <c:numCache>
                <c:formatCode>0.00</c:formatCode>
                <c:ptCount val="1"/>
                <c:pt idx="0">
                  <c:v>14.23230192978148</c:v>
                </c:pt>
              </c:numCache>
            </c:numRef>
          </c:xVal>
          <c:yVal>
            <c:numRef>
              <c:f>Nash!$I$57</c:f>
              <c:numCache>
                <c:formatCode>0.00</c:formatCode>
                <c:ptCount val="1"/>
                <c:pt idx="0">
                  <c:v>5.692190335412624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121-4B2C-9E3F-58C98590E9BC}"/>
            </c:ext>
          </c:extLst>
        </c:ser>
        <c:ser>
          <c:idx val="4"/>
          <c:order val="4"/>
          <c:tx>
            <c:v>Media observada</c:v>
          </c:tx>
          <c:spPr>
            <a:ln w="47520">
              <a:noFill/>
            </a:ln>
          </c:spPr>
          <c:marker>
            <c:symbol val="circle"/>
            <c:size val="10"/>
            <c:spPr>
              <a:solidFill>
                <a:srgbClr val="7F7F7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Nash!$H$58</c:f>
              <c:numCache>
                <c:formatCode>0.00</c:formatCode>
                <c:ptCount val="1"/>
                <c:pt idx="0">
                  <c:v>13.766666666666667</c:v>
                </c:pt>
              </c:numCache>
            </c:numRef>
          </c:xVal>
          <c:yVal>
            <c:numRef>
              <c:f>Nash!$I$58</c:f>
              <c:numCache>
                <c:formatCode>0.00</c:formatCode>
                <c:ptCount val="1"/>
                <c:pt idx="0">
                  <c:v>4.333333333333333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121-4B2C-9E3F-58C98590E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941765"/>
        <c:axId val="45829352"/>
      </c:scatterChart>
      <c:valAx>
        <c:axId val="3194176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q1 – Ana (unid/día)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829352"/>
        <c:crosses val="autoZero"/>
        <c:crossBetween val="midCat"/>
      </c:valAx>
      <c:valAx>
        <c:axId val="458293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q2 – Berry (unid/día)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94176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Utilidad diaria por escenario (S/)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Comparativo!$A$10</c:f>
              <c:strCache>
                <c:ptCount val="1"/>
                <c:pt idx="0">
                  <c:v>u1 Ana (S/ por día)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Comparativo!$B$4:$D$4</c:f>
              <c:strCache>
                <c:ptCount val="3"/>
                <c:pt idx="0">
                  <c:v>Observado (media 30 días)</c:v>
                </c:pt>
                <c:pt idx="1">
                  <c:v>Nash (no cooperativo)</c:v>
                </c:pt>
                <c:pt idx="2">
                  <c:v>Cooperativo</c:v>
                </c:pt>
              </c:strCache>
            </c:strRef>
          </c:cat>
          <c:val>
            <c:numRef>
              <c:f>Comparativo!$B$10:$D$10</c:f>
              <c:numCache>
                <c:formatCode>0.00</c:formatCode>
                <c:ptCount val="3"/>
                <c:pt idx="0">
                  <c:v>18.283333333333335</c:v>
                </c:pt>
                <c:pt idx="1">
                  <c:v>19.367089761271174</c:v>
                </c:pt>
                <c:pt idx="2">
                  <c:v>20.513862711738124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3E-414D-8F5E-2AF6679A74FA}"/>
            </c:ext>
          </c:extLst>
        </c:ser>
        <c:ser>
          <c:idx val="1"/>
          <c:order val="1"/>
          <c:tx>
            <c:strRef>
              <c:f>Comparativo!$A$11</c:f>
              <c:strCache>
                <c:ptCount val="1"/>
                <c:pt idx="0">
                  <c:v>u2 Berry (S/ por día)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Comparativo!$B$4:$D$4</c:f>
              <c:strCache>
                <c:ptCount val="3"/>
                <c:pt idx="0">
                  <c:v>Observado (media 30 días)</c:v>
                </c:pt>
                <c:pt idx="1">
                  <c:v>Nash (no cooperativo)</c:v>
                </c:pt>
                <c:pt idx="2">
                  <c:v>Cooperativo</c:v>
                </c:pt>
              </c:strCache>
            </c:strRef>
          </c:cat>
          <c:val>
            <c:numRef>
              <c:f>Comparativo!$B$11:$D$11</c:f>
              <c:numCache>
                <c:formatCode>0.00</c:formatCode>
                <c:ptCount val="3"/>
                <c:pt idx="0">
                  <c:v>10.866666666666669</c:v>
                </c:pt>
                <c:pt idx="1">
                  <c:v>13.540241278394488</c:v>
                </c:pt>
                <c:pt idx="2">
                  <c:v>13.841080454545482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3E-414D-8F5E-2AF6679A7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0310"/>
        <c:axId val="42891118"/>
      </c:barChart>
      <c:catAx>
        <c:axId val="18903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891118"/>
        <c:crosses val="autoZero"/>
        <c:auto val="1"/>
        <c:lblAlgn val="ctr"/>
        <c:lblOffset val="100"/>
        <c:noMultiLvlLbl val="0"/>
      </c:catAx>
      <c:valAx>
        <c:axId val="428911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S/ por día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903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Cantidades por escenario (unid/día)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Comparativo!$A$5</c:f>
              <c:strCache>
                <c:ptCount val="1"/>
                <c:pt idx="0">
                  <c:v>q1 Ana (unid/día)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Comparativo!$B$4:$D$4</c:f>
              <c:strCache>
                <c:ptCount val="3"/>
                <c:pt idx="0">
                  <c:v>Observado (media 30 días)</c:v>
                </c:pt>
                <c:pt idx="1">
                  <c:v>Nash (no cooperativo)</c:v>
                </c:pt>
                <c:pt idx="2">
                  <c:v>Cooperativo</c:v>
                </c:pt>
              </c:strCache>
            </c:strRef>
          </c:cat>
          <c:val>
            <c:numRef>
              <c:f>Comparativo!$B$5:$D$5</c:f>
              <c:numCache>
                <c:formatCode>0.00</c:formatCode>
                <c:ptCount val="3"/>
                <c:pt idx="0">
                  <c:v>13.766666666666667</c:v>
                </c:pt>
                <c:pt idx="1">
                  <c:v>16.426999502751713</c:v>
                </c:pt>
                <c:pt idx="2">
                  <c:v>14.23230192978148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A6-4758-93B6-32F2A3CC16F5}"/>
            </c:ext>
          </c:extLst>
        </c:ser>
        <c:ser>
          <c:idx val="1"/>
          <c:order val="1"/>
          <c:tx>
            <c:strRef>
              <c:f>Comparativo!$A$6</c:f>
              <c:strCache>
                <c:ptCount val="1"/>
                <c:pt idx="0">
                  <c:v>q2 Berry (unid/día)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Comparativo!$B$4:$D$4</c:f>
              <c:strCache>
                <c:ptCount val="3"/>
                <c:pt idx="0">
                  <c:v>Observado (media 30 días)</c:v>
                </c:pt>
                <c:pt idx="1">
                  <c:v>Nash (no cooperativo)</c:v>
                </c:pt>
                <c:pt idx="2">
                  <c:v>Cooperativo</c:v>
                </c:pt>
              </c:strCache>
            </c:strRef>
          </c:cat>
          <c:val>
            <c:numRef>
              <c:f>Comparativo!$B$6:$D$6</c:f>
              <c:numCache>
                <c:formatCode>0.00</c:formatCode>
                <c:ptCount val="3"/>
                <c:pt idx="0">
                  <c:v>4.333333333333333</c:v>
                </c:pt>
                <c:pt idx="1">
                  <c:v>7.2429511130339668</c:v>
                </c:pt>
                <c:pt idx="2">
                  <c:v>5.692190335412624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A6-4758-93B6-32F2A3CC1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932382"/>
        <c:axId val="36631329"/>
      </c:barChart>
      <c:catAx>
        <c:axId val="379323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631329"/>
        <c:crosses val="autoZero"/>
        <c:auto val="1"/>
        <c:lblAlgn val="ctr"/>
        <c:lblOffset val="100"/>
        <c:noMultiLvlLbl val="0"/>
      </c:catAx>
      <c:valAx>
        <c:axId val="366313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9323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160920</xdr:rowOff>
    </xdr:from>
    <xdr:to>
      <xdr:col>15</xdr:col>
      <xdr:colOff>99720</xdr:colOff>
      <xdr:row>19</xdr:row>
      <xdr:rowOff>46800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160920</xdr:rowOff>
    </xdr:from>
    <xdr:to>
      <xdr:col>16</xdr:col>
      <xdr:colOff>255960</xdr:colOff>
      <xdr:row>17</xdr:row>
      <xdr:rowOff>124920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20</xdr:row>
      <xdr:rowOff>522720</xdr:rowOff>
    </xdr:from>
    <xdr:to>
      <xdr:col>16</xdr:col>
      <xdr:colOff>255960</xdr:colOff>
      <xdr:row>36</xdr:row>
      <xdr:rowOff>172440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1E3A"/>
  </sheetPr>
  <dimension ref="A1:D29"/>
  <sheetViews>
    <sheetView showGridLines="0" zoomScaleNormal="100" workbookViewId="0">
      <selection activeCell="D7" sqref="D7:D16"/>
    </sheetView>
  </sheetViews>
  <sheetFormatPr baseColWidth="10" defaultColWidth="8.7109375" defaultRowHeight="15" x14ac:dyDescent="0.25"/>
  <cols>
    <col min="1" max="1" width="42" customWidth="1"/>
    <col min="2" max="2" width="14" customWidth="1"/>
    <col min="3" max="3" width="24" customWidth="1"/>
    <col min="4" max="4" width="70" customWidth="1"/>
  </cols>
  <sheetData>
    <row r="1" spans="1:4" ht="18" x14ac:dyDescent="0.25">
      <c r="A1" s="1" t="s">
        <v>0</v>
      </c>
    </row>
    <row r="2" spans="1:4" x14ac:dyDescent="0.25">
      <c r="A2" s="2" t="s">
        <v>398</v>
      </c>
    </row>
    <row r="5" spans="1:4" x14ac:dyDescent="0.25">
      <c r="A5" s="5" t="s">
        <v>1</v>
      </c>
      <c r="B5" s="6"/>
      <c r="C5" s="6"/>
      <c r="D5" s="6"/>
    </row>
    <row r="6" spans="1:4" ht="24" customHeight="1" x14ac:dyDescent="0.25">
      <c r="A6" s="7" t="s">
        <v>2</v>
      </c>
      <c r="B6" s="7" t="s">
        <v>3</v>
      </c>
      <c r="C6" s="7" t="s">
        <v>4</v>
      </c>
      <c r="D6" s="7" t="s">
        <v>5</v>
      </c>
    </row>
    <row r="7" spans="1:4" ht="30" customHeight="1" x14ac:dyDescent="0.25">
      <c r="A7" s="8" t="s">
        <v>6</v>
      </c>
      <c r="B7" s="9">
        <v>3</v>
      </c>
      <c r="C7" s="10" t="s">
        <v>7</v>
      </c>
      <c r="D7" s="11" t="s">
        <v>8</v>
      </c>
    </row>
    <row r="8" spans="1:4" ht="30" customHeight="1" x14ac:dyDescent="0.25">
      <c r="A8" s="8" t="s">
        <v>9</v>
      </c>
      <c r="B8" s="9">
        <v>4</v>
      </c>
      <c r="C8" s="10" t="s">
        <v>10</v>
      </c>
      <c r="D8" s="11" t="s">
        <v>11</v>
      </c>
    </row>
    <row r="9" spans="1:4" ht="30" customHeight="1" x14ac:dyDescent="0.25">
      <c r="A9" s="8" t="s">
        <v>12</v>
      </c>
      <c r="B9" s="9">
        <v>4</v>
      </c>
      <c r="C9" s="10" t="s">
        <v>13</v>
      </c>
      <c r="D9" s="11" t="s">
        <v>14</v>
      </c>
    </row>
    <row r="10" spans="1:4" ht="30" customHeight="1" x14ac:dyDescent="0.25">
      <c r="A10" s="8" t="s">
        <v>15</v>
      </c>
      <c r="B10" s="9">
        <v>6</v>
      </c>
      <c r="C10" s="10" t="s">
        <v>16</v>
      </c>
      <c r="D10" s="11" t="s">
        <v>17</v>
      </c>
    </row>
    <row r="11" spans="1:4" ht="30" customHeight="1" x14ac:dyDescent="0.25">
      <c r="A11" s="8" t="s">
        <v>18</v>
      </c>
      <c r="B11" s="9">
        <v>4</v>
      </c>
      <c r="C11" s="10" t="s">
        <v>19</v>
      </c>
      <c r="D11" s="11" t="s">
        <v>20</v>
      </c>
    </row>
    <row r="12" spans="1:4" ht="30" customHeight="1" x14ac:dyDescent="0.25">
      <c r="A12" s="8" t="s">
        <v>21</v>
      </c>
      <c r="B12" s="9">
        <v>4</v>
      </c>
      <c r="C12" s="10" t="s">
        <v>22</v>
      </c>
      <c r="D12" s="11" t="s">
        <v>23</v>
      </c>
    </row>
    <row r="13" spans="1:4" ht="30" customHeight="1" x14ac:dyDescent="0.25">
      <c r="A13" s="8" t="s">
        <v>24</v>
      </c>
      <c r="B13" s="9">
        <v>3</v>
      </c>
      <c r="C13" s="10" t="s">
        <v>25</v>
      </c>
      <c r="D13" s="11" t="s">
        <v>26</v>
      </c>
    </row>
    <row r="14" spans="1:4" ht="30" customHeight="1" x14ac:dyDescent="0.25">
      <c r="A14" s="8" t="s">
        <v>27</v>
      </c>
      <c r="B14" s="9">
        <v>3</v>
      </c>
      <c r="C14" s="10" t="s">
        <v>28</v>
      </c>
      <c r="D14" s="11" t="s">
        <v>29</v>
      </c>
    </row>
    <row r="15" spans="1:4" ht="30" customHeight="1" x14ac:dyDescent="0.25">
      <c r="A15" s="8" t="s">
        <v>30</v>
      </c>
      <c r="B15" s="9">
        <v>2</v>
      </c>
      <c r="C15" s="10" t="s">
        <v>31</v>
      </c>
      <c r="D15" s="11" t="s">
        <v>32</v>
      </c>
    </row>
    <row r="16" spans="1:4" ht="30" customHeight="1" x14ac:dyDescent="0.25">
      <c r="A16" s="8" t="s">
        <v>33</v>
      </c>
      <c r="B16" s="9">
        <v>2</v>
      </c>
      <c r="C16" s="10" t="s">
        <v>34</v>
      </c>
      <c r="D16" s="11" t="s">
        <v>35</v>
      </c>
    </row>
    <row r="18" spans="1:4" x14ac:dyDescent="0.25">
      <c r="A18" s="5" t="s">
        <v>36</v>
      </c>
      <c r="B18" s="6"/>
      <c r="C18" s="6"/>
      <c r="D18" s="6"/>
    </row>
    <row r="19" spans="1:4" x14ac:dyDescent="0.25">
      <c r="A19" s="12" t="s">
        <v>37</v>
      </c>
      <c r="B19" s="64" t="s">
        <v>38</v>
      </c>
      <c r="C19" s="64"/>
      <c r="D19" s="64"/>
    </row>
    <row r="20" spans="1:4" x14ac:dyDescent="0.25">
      <c r="A20" s="8" t="s">
        <v>39</v>
      </c>
      <c r="B20" s="64" t="s">
        <v>40</v>
      </c>
      <c r="C20" s="64"/>
      <c r="D20" s="64"/>
    </row>
    <row r="21" spans="1:4" x14ac:dyDescent="0.25">
      <c r="A21" s="13" t="s">
        <v>41</v>
      </c>
      <c r="B21" s="64" t="s">
        <v>42</v>
      </c>
      <c r="C21" s="64"/>
      <c r="D21" s="64"/>
    </row>
    <row r="22" spans="1:4" x14ac:dyDescent="0.25">
      <c r="A22" s="14" t="s">
        <v>43</v>
      </c>
      <c r="B22" s="64" t="s">
        <v>44</v>
      </c>
      <c r="C22" s="64"/>
      <c r="D22" s="64"/>
    </row>
    <row r="24" spans="1:4" x14ac:dyDescent="0.25">
      <c r="A24" s="5" t="s">
        <v>45</v>
      </c>
      <c r="B24" s="6"/>
      <c r="C24" s="6"/>
      <c r="D24" s="6"/>
    </row>
    <row r="25" spans="1:4" ht="43.5" customHeight="1" x14ac:dyDescent="0.25">
      <c r="A25" s="63" t="s">
        <v>46</v>
      </c>
      <c r="B25" s="63"/>
      <c r="C25" s="63"/>
      <c r="D25" s="63"/>
    </row>
    <row r="26" spans="1:4" ht="43.5" customHeight="1" x14ac:dyDescent="0.25">
      <c r="A26" s="63" t="s">
        <v>47</v>
      </c>
      <c r="B26" s="63"/>
      <c r="C26" s="63"/>
      <c r="D26" s="63"/>
    </row>
    <row r="27" spans="1:4" ht="43.5" customHeight="1" x14ac:dyDescent="0.25">
      <c r="A27" s="63" t="s">
        <v>48</v>
      </c>
      <c r="B27" s="63"/>
      <c r="C27" s="63"/>
      <c r="D27" s="63"/>
    </row>
    <row r="28" spans="1:4" ht="43.5" customHeight="1" x14ac:dyDescent="0.25">
      <c r="A28" s="63" t="s">
        <v>49</v>
      </c>
      <c r="B28" s="63"/>
      <c r="C28" s="63"/>
      <c r="D28" s="63"/>
    </row>
    <row r="29" spans="1:4" ht="43.5" customHeight="1" x14ac:dyDescent="0.25">
      <c r="A29" s="63" t="s">
        <v>50</v>
      </c>
      <c r="B29" s="63"/>
      <c r="C29" s="63"/>
      <c r="D29" s="63"/>
    </row>
  </sheetData>
  <mergeCells count="9">
    <mergeCell ref="A26:D26"/>
    <mergeCell ref="A27:D27"/>
    <mergeCell ref="A28:D28"/>
    <mergeCell ref="A29:D29"/>
    <mergeCell ref="B19:D19"/>
    <mergeCell ref="B20:D20"/>
    <mergeCell ref="B21:D21"/>
    <mergeCell ref="B22:D22"/>
    <mergeCell ref="A25:D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F7F7F"/>
  </sheetPr>
  <dimension ref="A1:D24"/>
  <sheetViews>
    <sheetView showGridLines="0" zoomScale="70" zoomScaleNormal="70" workbookViewId="0">
      <selection activeCell="B11" sqref="B11"/>
    </sheetView>
  </sheetViews>
  <sheetFormatPr baseColWidth="10" defaultColWidth="8.7109375" defaultRowHeight="15" x14ac:dyDescent="0.25"/>
  <cols>
    <col min="1" max="1" width="38" customWidth="1"/>
    <col min="2" max="4" width="44" customWidth="1"/>
  </cols>
  <sheetData>
    <row r="1" spans="1:4" ht="18" x14ac:dyDescent="0.25">
      <c r="A1" s="1" t="s">
        <v>51</v>
      </c>
    </row>
    <row r="2" spans="1:4" x14ac:dyDescent="0.25">
      <c r="A2" s="2" t="s">
        <v>52</v>
      </c>
    </row>
    <row r="4" spans="1:4" ht="30" customHeight="1" x14ac:dyDescent="0.25">
      <c r="A4" s="7" t="s">
        <v>53</v>
      </c>
      <c r="B4" s="7" t="s">
        <v>54</v>
      </c>
      <c r="C4" s="7" t="s">
        <v>55</v>
      </c>
      <c r="D4" s="7" t="s">
        <v>56</v>
      </c>
    </row>
    <row r="5" spans="1:4" ht="21.75" customHeight="1" x14ac:dyDescent="0.25">
      <c r="A5" s="3" t="s">
        <v>6</v>
      </c>
      <c r="B5" s="15" t="s">
        <v>57</v>
      </c>
      <c r="C5" s="15" t="s">
        <v>58</v>
      </c>
      <c r="D5" s="15" t="s">
        <v>56</v>
      </c>
    </row>
    <row r="6" spans="1:4" ht="21.75" customHeight="1" x14ac:dyDescent="0.25">
      <c r="A6" s="3" t="s">
        <v>59</v>
      </c>
      <c r="B6" s="16" t="s">
        <v>60</v>
      </c>
      <c r="C6" s="15" t="s">
        <v>61</v>
      </c>
      <c r="D6" s="16" t="s">
        <v>60</v>
      </c>
    </row>
    <row r="7" spans="1:4" ht="43.5" customHeight="1" x14ac:dyDescent="0.25">
      <c r="A7" s="3" t="s">
        <v>62</v>
      </c>
      <c r="B7" s="16" t="s">
        <v>60</v>
      </c>
      <c r="C7" s="15" t="s">
        <v>63</v>
      </c>
      <c r="D7" s="16" t="s">
        <v>60</v>
      </c>
    </row>
    <row r="8" spans="1:4" ht="43.5" customHeight="1" x14ac:dyDescent="0.25">
      <c r="A8" s="3" t="s">
        <v>64</v>
      </c>
      <c r="B8" s="16" t="s">
        <v>60</v>
      </c>
      <c r="C8" s="15" t="s">
        <v>65</v>
      </c>
      <c r="D8" s="16" t="s">
        <v>60</v>
      </c>
    </row>
    <row r="9" spans="1:4" ht="21.75" customHeight="1" x14ac:dyDescent="0.25">
      <c r="A9" s="3" t="s">
        <v>66</v>
      </c>
      <c r="B9" s="15" t="s">
        <v>67</v>
      </c>
      <c r="C9" s="15" t="s">
        <v>67</v>
      </c>
      <c r="D9" s="15" t="s">
        <v>67</v>
      </c>
    </row>
    <row r="10" spans="1:4" ht="43.5" customHeight="1" x14ac:dyDescent="0.25">
      <c r="A10" s="3" t="s">
        <v>68</v>
      </c>
      <c r="B10" s="15" t="s">
        <v>69</v>
      </c>
      <c r="C10" s="15" t="s">
        <v>69</v>
      </c>
      <c r="D10" s="15" t="s">
        <v>69</v>
      </c>
    </row>
    <row r="11" spans="1:4" ht="21.75" customHeight="1" x14ac:dyDescent="0.25">
      <c r="A11" s="3" t="s">
        <v>70</v>
      </c>
      <c r="B11" s="16" t="s">
        <v>60</v>
      </c>
      <c r="C11" s="15" t="s">
        <v>71</v>
      </c>
      <c r="D11" s="16" t="s">
        <v>60</v>
      </c>
    </row>
    <row r="12" spans="1:4" ht="21.75" customHeight="1" x14ac:dyDescent="0.25">
      <c r="A12" s="3" t="s">
        <v>72</v>
      </c>
      <c r="B12" s="16" t="s">
        <v>60</v>
      </c>
      <c r="C12" s="15" t="s">
        <v>73</v>
      </c>
      <c r="D12" s="16" t="s">
        <v>60</v>
      </c>
    </row>
    <row r="13" spans="1:4" ht="21.75" customHeight="1" x14ac:dyDescent="0.25">
      <c r="A13" s="3" t="s">
        <v>74</v>
      </c>
      <c r="B13" s="15" t="s">
        <v>75</v>
      </c>
      <c r="C13" s="15" t="s">
        <v>75</v>
      </c>
      <c r="D13" s="15" t="s">
        <v>75</v>
      </c>
    </row>
    <row r="14" spans="1:4" ht="43.5" customHeight="1" x14ac:dyDescent="0.25">
      <c r="A14" s="3" t="s">
        <v>76</v>
      </c>
      <c r="B14" s="15" t="s">
        <v>77</v>
      </c>
      <c r="C14" s="15" t="s">
        <v>78</v>
      </c>
      <c r="D14" s="15" t="s">
        <v>79</v>
      </c>
    </row>
    <row r="16" spans="1:4" x14ac:dyDescent="0.25">
      <c r="A16" s="5" t="s">
        <v>80</v>
      </c>
      <c r="B16" s="6"/>
      <c r="C16" s="6"/>
      <c r="D16" s="6"/>
    </row>
    <row r="17" spans="1:4" x14ac:dyDescent="0.25">
      <c r="A17" s="3" t="s">
        <v>81</v>
      </c>
      <c r="B17" s="17">
        <f>Datos_3J!B47</f>
        <v>27.933333333333334</v>
      </c>
      <c r="C17" s="17">
        <f>Datos_3J!C47</f>
        <v>30</v>
      </c>
      <c r="D17" s="17">
        <f>Datos_3J!D47</f>
        <v>28.733333333333331</v>
      </c>
    </row>
    <row r="18" spans="1:4" x14ac:dyDescent="0.25">
      <c r="A18" s="3" t="s">
        <v>82</v>
      </c>
      <c r="B18" s="18" t="str">
        <f>INDEX(Datos_3J!$A$40:$A$46,MATCH(MAX(Datos_3J!B40:B46),Datos_3J!B40:B46,0))</f>
        <v>Cerveza</v>
      </c>
      <c r="C18" s="18" t="str">
        <f>INDEX(Datos_3J!$A$40:$A$46,MATCH(MAX(Datos_3J!C40:C46),Datos_3J!C40:C46,0))</f>
        <v>Atún</v>
      </c>
      <c r="D18" s="18" t="str">
        <f>INDEX(Datos_3J!$A$40:$A$46,MATCH(MAX(Datos_3J!D40:D46),Datos_3J!D40:D46,0))</f>
        <v>Cerveza</v>
      </c>
    </row>
    <row r="19" spans="1:4" x14ac:dyDescent="0.25">
      <c r="A19" s="3" t="s">
        <v>83</v>
      </c>
      <c r="B19" s="18" t="str">
        <f>Datos_3J!$B$5</f>
        <v>Cerveza</v>
      </c>
      <c r="C19" s="18" t="str">
        <f>Datos_3J!$B$5</f>
        <v>Cerveza</v>
      </c>
      <c r="D19" s="18" t="str">
        <f>Datos_3J!$B$5</f>
        <v>Cerveza</v>
      </c>
    </row>
    <row r="20" spans="1:4" x14ac:dyDescent="0.25">
      <c r="A20" s="3" t="s">
        <v>84</v>
      </c>
      <c r="B20" s="19">
        <f>INDEX(Datos_3J!B40:B46,Datos_3J!$B$6)</f>
        <v>13.766666666666667</v>
      </c>
      <c r="C20" s="19">
        <f>INDEX(Datos_3J!C40:C46,Datos_3J!$B$6)</f>
        <v>4.4516129032258061</v>
      </c>
      <c r="D20" s="19">
        <f>INDEX(Datos_3J!D40:D46,Datos_3J!$B$6)</f>
        <v>8.4333333333333336</v>
      </c>
    </row>
    <row r="21" spans="1:4" x14ac:dyDescent="0.25">
      <c r="A21" s="3" t="s">
        <v>85</v>
      </c>
      <c r="B21" s="20">
        <f>Terna_Proceso!B7/Terna_Proceso!B9</f>
        <v>0.594843727495319</v>
      </c>
      <c r="C21" s="20">
        <f>Terna_Proceso!C7/Terna_Proceso!C9</f>
        <v>0.21562499999999998</v>
      </c>
      <c r="D21" s="20">
        <f>Terna_Proceso!D7/Terna_Proceso!D9</f>
        <v>0.40961488645194721</v>
      </c>
    </row>
    <row r="22" spans="1:4" x14ac:dyDescent="0.25">
      <c r="A22" s="3" t="s">
        <v>86</v>
      </c>
      <c r="B22" s="21">
        <f>Datos_3J!B69</f>
        <v>4860.1000000000004</v>
      </c>
      <c r="C22" s="21">
        <f>Datos_3J!C69</f>
        <v>5574.1935483870966</v>
      </c>
      <c r="D22" s="21">
        <f>Datos_3J!D69</f>
        <v>4632.3999999999996</v>
      </c>
    </row>
    <row r="24" spans="1:4" ht="21.75" customHeight="1" x14ac:dyDescent="0.25">
      <c r="A24" s="65" t="s">
        <v>87</v>
      </c>
      <c r="B24" s="65"/>
      <c r="C24" s="65"/>
      <c r="D24" s="65"/>
    </row>
  </sheetData>
  <mergeCells count="1">
    <mergeCell ref="A24:D2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1E3A"/>
  </sheetPr>
  <dimension ref="A1:K43"/>
  <sheetViews>
    <sheetView showGridLines="0" zoomScaleNormal="100" workbookViewId="0">
      <pane xSplit="3" ySplit="13" topLeftCell="D14" activePane="bottomRight" state="frozen"/>
      <selection pane="topRight" activeCell="D1" sqref="D1"/>
      <selection pane="bottomLeft" activeCell="A14" sqref="A14"/>
      <selection pane="bottomRight" activeCell="A2" sqref="A2"/>
    </sheetView>
  </sheetViews>
  <sheetFormatPr baseColWidth="10" defaultColWidth="8.7109375" defaultRowHeight="15" x14ac:dyDescent="0.25"/>
  <cols>
    <col min="1" max="1" width="24" customWidth="1"/>
    <col min="2" max="2" width="12" customWidth="1"/>
    <col min="3" max="3" width="9" customWidth="1"/>
    <col min="4" max="11" width="10" customWidth="1"/>
  </cols>
  <sheetData>
    <row r="1" spans="1:11" ht="18" x14ac:dyDescent="0.25">
      <c r="A1" s="1" t="s">
        <v>88</v>
      </c>
    </row>
    <row r="2" spans="1:11" x14ac:dyDescent="0.25">
      <c r="A2" s="2"/>
    </row>
    <row r="4" spans="1:11" ht="19.5" customHeight="1" x14ac:dyDescent="0.25">
      <c r="A4" s="7" t="s">
        <v>89</v>
      </c>
      <c r="B4" s="7"/>
      <c r="C4" s="7"/>
      <c r="D4" s="7" t="s">
        <v>90</v>
      </c>
      <c r="E4" s="7" t="s">
        <v>91</v>
      </c>
      <c r="F4" s="7" t="s">
        <v>92</v>
      </c>
      <c r="G4" s="7" t="s">
        <v>93</v>
      </c>
      <c r="H4" s="7" t="s">
        <v>94</v>
      </c>
      <c r="I4" s="7" t="s">
        <v>95</v>
      </c>
      <c r="J4" s="7" t="s">
        <v>96</v>
      </c>
      <c r="K4" s="7" t="s">
        <v>97</v>
      </c>
    </row>
    <row r="5" spans="1:11" x14ac:dyDescent="0.25">
      <c r="A5" s="3" t="s">
        <v>98</v>
      </c>
      <c r="B5" s="22"/>
      <c r="C5" s="22"/>
      <c r="D5" s="23">
        <f t="shared" ref="D5:K5" si="0">AVERAGE(D14:D43)</f>
        <v>1.6</v>
      </c>
      <c r="E5" s="23">
        <f t="shared" si="0"/>
        <v>2.3666666666666667</v>
      </c>
      <c r="F5" s="23">
        <f t="shared" si="0"/>
        <v>3.0333333333333332</v>
      </c>
      <c r="G5" s="23">
        <f t="shared" si="0"/>
        <v>13.766666666666667</v>
      </c>
      <c r="H5" s="23">
        <f t="shared" si="0"/>
        <v>3.4666666666666668</v>
      </c>
      <c r="I5" s="23">
        <f t="shared" si="0"/>
        <v>1.5</v>
      </c>
      <c r="J5" s="23">
        <f t="shared" si="0"/>
        <v>2.2000000000000002</v>
      </c>
      <c r="K5" s="23">
        <f t="shared" si="0"/>
        <v>27.933333333333334</v>
      </c>
    </row>
    <row r="6" spans="1:11" x14ac:dyDescent="0.25">
      <c r="A6" s="3" t="s">
        <v>99</v>
      </c>
      <c r="B6" s="22"/>
      <c r="C6" s="22"/>
      <c r="D6" s="23">
        <f t="shared" ref="D6:K6" si="1">MEDIAN(D14:D43)</f>
        <v>1.5</v>
      </c>
      <c r="E6" s="23">
        <f t="shared" si="1"/>
        <v>2</v>
      </c>
      <c r="F6" s="23">
        <f t="shared" si="1"/>
        <v>3</v>
      </c>
      <c r="G6" s="23">
        <f t="shared" si="1"/>
        <v>12.5</v>
      </c>
      <c r="H6" s="23">
        <f t="shared" si="1"/>
        <v>3</v>
      </c>
      <c r="I6" s="23">
        <f t="shared" si="1"/>
        <v>1.5</v>
      </c>
      <c r="J6" s="23">
        <f t="shared" si="1"/>
        <v>2</v>
      </c>
      <c r="K6" s="23">
        <f t="shared" si="1"/>
        <v>26</v>
      </c>
    </row>
    <row r="7" spans="1:11" x14ac:dyDescent="0.25">
      <c r="A7" s="3" t="s">
        <v>100</v>
      </c>
      <c r="B7" s="22"/>
      <c r="C7" s="22"/>
      <c r="D7" s="23">
        <f t="shared" ref="D7:K7" si="2">STDEV(D14:D43)</f>
        <v>1.1626367179523596</v>
      </c>
      <c r="E7" s="23">
        <f t="shared" si="2"/>
        <v>1.2726115785600325</v>
      </c>
      <c r="F7" s="23">
        <f t="shared" si="2"/>
        <v>2.3116397126108428</v>
      </c>
      <c r="G7" s="23">
        <f t="shared" si="2"/>
        <v>6.8060993605549962</v>
      </c>
      <c r="H7" s="23">
        <f t="shared" si="2"/>
        <v>1.9428619723691543</v>
      </c>
      <c r="I7" s="23">
        <f t="shared" si="2"/>
        <v>0.5085476277156078</v>
      </c>
      <c r="J7" s="23">
        <f t="shared" si="2"/>
        <v>0.66436383882992001</v>
      </c>
      <c r="K7" s="23">
        <f t="shared" si="2"/>
        <v>9.3842617086317404</v>
      </c>
    </row>
    <row r="8" spans="1:11" x14ac:dyDescent="0.25">
      <c r="A8" s="3" t="s">
        <v>101</v>
      </c>
      <c r="B8" s="22"/>
      <c r="C8" s="22"/>
      <c r="D8" s="23">
        <f t="shared" ref="D8:K8" si="3">MIN(D14:D43)</f>
        <v>0</v>
      </c>
      <c r="E8" s="23">
        <f t="shared" si="3"/>
        <v>0</v>
      </c>
      <c r="F8" s="23">
        <f t="shared" si="3"/>
        <v>0</v>
      </c>
      <c r="G8" s="23">
        <f t="shared" si="3"/>
        <v>3</v>
      </c>
      <c r="H8" s="23">
        <f t="shared" si="3"/>
        <v>0</v>
      </c>
      <c r="I8" s="23">
        <f t="shared" si="3"/>
        <v>1</v>
      </c>
      <c r="J8" s="23">
        <f t="shared" si="3"/>
        <v>1</v>
      </c>
      <c r="K8" s="23">
        <f t="shared" si="3"/>
        <v>17</v>
      </c>
    </row>
    <row r="9" spans="1:11" x14ac:dyDescent="0.25">
      <c r="A9" s="3" t="s">
        <v>102</v>
      </c>
      <c r="B9" s="22"/>
      <c r="C9" s="22"/>
      <c r="D9" s="23">
        <f t="shared" ref="D9:K9" si="4">MAX(D14:D43)</f>
        <v>4</v>
      </c>
      <c r="E9" s="23">
        <f t="shared" si="4"/>
        <v>5</v>
      </c>
      <c r="F9" s="23">
        <f t="shared" si="4"/>
        <v>11</v>
      </c>
      <c r="G9" s="23">
        <f t="shared" si="4"/>
        <v>29</v>
      </c>
      <c r="H9" s="23">
        <f t="shared" si="4"/>
        <v>8</v>
      </c>
      <c r="I9" s="23">
        <f t="shared" si="4"/>
        <v>2</v>
      </c>
      <c r="J9" s="23">
        <f t="shared" si="4"/>
        <v>3</v>
      </c>
      <c r="K9" s="23">
        <f t="shared" si="4"/>
        <v>54</v>
      </c>
    </row>
    <row r="10" spans="1:11" x14ac:dyDescent="0.25">
      <c r="A10" s="3" t="s">
        <v>103</v>
      </c>
      <c r="B10" s="22"/>
      <c r="C10" s="22"/>
      <c r="D10" s="24">
        <f t="shared" ref="D10:K10" si="5">IF(D5=0,0,D7/D5)</f>
        <v>0.72664794872022465</v>
      </c>
      <c r="E10" s="24">
        <f t="shared" si="5"/>
        <v>0.53772320220846448</v>
      </c>
      <c r="F10" s="24">
        <f t="shared" si="5"/>
        <v>0.76207902613544265</v>
      </c>
      <c r="G10" s="24">
        <f t="shared" si="5"/>
        <v>0.49438978405968492</v>
      </c>
      <c r="H10" s="24">
        <f t="shared" si="5"/>
        <v>0.56044095356802526</v>
      </c>
      <c r="I10" s="24">
        <f t="shared" si="5"/>
        <v>0.33903175181040518</v>
      </c>
      <c r="J10" s="24">
        <f t="shared" si="5"/>
        <v>0.30198356310450908</v>
      </c>
      <c r="K10" s="24">
        <f t="shared" si="5"/>
        <v>0.33595208980781888</v>
      </c>
    </row>
    <row r="12" spans="1:11" x14ac:dyDescent="0.25">
      <c r="A12" s="5" t="s">
        <v>104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x14ac:dyDescent="0.25">
      <c r="A13" s="7" t="s">
        <v>105</v>
      </c>
      <c r="B13" s="7" t="s">
        <v>106</v>
      </c>
      <c r="C13" s="7" t="s">
        <v>107</v>
      </c>
      <c r="D13" s="7" t="s">
        <v>90</v>
      </c>
      <c r="E13" s="7" t="s">
        <v>91</v>
      </c>
      <c r="F13" s="7" t="s">
        <v>92</v>
      </c>
      <c r="G13" s="7" t="s">
        <v>93</v>
      </c>
      <c r="H13" s="7" t="s">
        <v>94</v>
      </c>
      <c r="I13" s="7" t="s">
        <v>95</v>
      </c>
      <c r="J13" s="7" t="s">
        <v>96</v>
      </c>
      <c r="K13" s="7" t="s">
        <v>97</v>
      </c>
    </row>
    <row r="14" spans="1:11" x14ac:dyDescent="0.25">
      <c r="A14" s="25">
        <v>1</v>
      </c>
      <c r="B14" s="26">
        <v>45836</v>
      </c>
      <c r="C14" s="9" t="str">
        <f t="shared" ref="C14:C43" si="6">CHOOSE(WEEKDAY(B14,2),"Lun","Mar","Mié","Jue","Vie","Sáb","Dom")</f>
        <v>Sáb</v>
      </c>
      <c r="D14" s="27">
        <v>1</v>
      </c>
      <c r="E14" s="27">
        <v>2</v>
      </c>
      <c r="F14" s="27">
        <v>3</v>
      </c>
      <c r="G14" s="27">
        <v>16</v>
      </c>
      <c r="H14" s="27">
        <v>5</v>
      </c>
      <c r="I14" s="27">
        <v>2</v>
      </c>
      <c r="J14" s="27">
        <v>3</v>
      </c>
      <c r="K14" s="28">
        <f t="shared" ref="K14:K43" si="7">SUM(D14:J14)</f>
        <v>32</v>
      </c>
    </row>
    <row r="15" spans="1:11" x14ac:dyDescent="0.25">
      <c r="A15" s="25">
        <v>2</v>
      </c>
      <c r="B15" s="26">
        <v>45837</v>
      </c>
      <c r="C15" s="9" t="str">
        <f t="shared" si="6"/>
        <v>Dom</v>
      </c>
      <c r="D15" s="27">
        <v>2</v>
      </c>
      <c r="E15" s="27">
        <v>2</v>
      </c>
      <c r="F15" s="27">
        <v>7</v>
      </c>
      <c r="G15" s="27">
        <v>20</v>
      </c>
      <c r="H15" s="27">
        <v>6</v>
      </c>
      <c r="I15" s="27">
        <v>1</v>
      </c>
      <c r="J15" s="27">
        <v>2</v>
      </c>
      <c r="K15" s="28">
        <f t="shared" si="7"/>
        <v>40</v>
      </c>
    </row>
    <row r="16" spans="1:11" x14ac:dyDescent="0.25">
      <c r="A16" s="25">
        <v>3</v>
      </c>
      <c r="B16" s="26">
        <v>45838</v>
      </c>
      <c r="C16" s="9" t="str">
        <f t="shared" si="6"/>
        <v>Lun</v>
      </c>
      <c r="D16" s="27">
        <v>3</v>
      </c>
      <c r="E16" s="27">
        <v>3</v>
      </c>
      <c r="F16" s="27">
        <v>4</v>
      </c>
      <c r="G16" s="27">
        <v>7</v>
      </c>
      <c r="H16" s="27">
        <v>3</v>
      </c>
      <c r="I16" s="27">
        <v>2</v>
      </c>
      <c r="J16" s="27">
        <v>1</v>
      </c>
      <c r="K16" s="28">
        <f t="shared" si="7"/>
        <v>23</v>
      </c>
    </row>
    <row r="17" spans="1:11" x14ac:dyDescent="0.25">
      <c r="A17" s="25">
        <v>4</v>
      </c>
      <c r="B17" s="26">
        <v>45839</v>
      </c>
      <c r="C17" s="9" t="str">
        <f t="shared" si="6"/>
        <v>Mar</v>
      </c>
      <c r="D17" s="27">
        <v>1</v>
      </c>
      <c r="E17" s="27">
        <v>1</v>
      </c>
      <c r="F17" s="27">
        <v>4</v>
      </c>
      <c r="G17" s="27">
        <v>9</v>
      </c>
      <c r="H17" s="27">
        <v>5</v>
      </c>
      <c r="I17" s="27">
        <v>1</v>
      </c>
      <c r="J17" s="27">
        <v>2</v>
      </c>
      <c r="K17" s="28">
        <f t="shared" si="7"/>
        <v>23</v>
      </c>
    </row>
    <row r="18" spans="1:11" x14ac:dyDescent="0.25">
      <c r="A18" s="25">
        <v>5</v>
      </c>
      <c r="B18" s="26">
        <v>45840</v>
      </c>
      <c r="C18" s="9" t="str">
        <f t="shared" si="6"/>
        <v>Mié</v>
      </c>
      <c r="D18" s="27">
        <v>3</v>
      </c>
      <c r="E18" s="27">
        <v>1</v>
      </c>
      <c r="F18" s="27">
        <v>2</v>
      </c>
      <c r="G18" s="27">
        <v>6</v>
      </c>
      <c r="H18" s="27">
        <v>3</v>
      </c>
      <c r="I18" s="27">
        <v>2</v>
      </c>
      <c r="J18" s="27">
        <v>3</v>
      </c>
      <c r="K18" s="28">
        <f t="shared" si="7"/>
        <v>20</v>
      </c>
    </row>
    <row r="19" spans="1:11" x14ac:dyDescent="0.25">
      <c r="A19" s="25">
        <v>6</v>
      </c>
      <c r="B19" s="26">
        <v>45841</v>
      </c>
      <c r="C19" s="9" t="str">
        <f t="shared" si="6"/>
        <v>Jue</v>
      </c>
      <c r="D19" s="27">
        <v>2</v>
      </c>
      <c r="E19" s="27">
        <v>2</v>
      </c>
      <c r="F19" s="27">
        <v>3</v>
      </c>
      <c r="G19" s="27">
        <v>11</v>
      </c>
      <c r="H19" s="27">
        <v>5</v>
      </c>
      <c r="I19" s="27">
        <v>1</v>
      </c>
      <c r="J19" s="27">
        <v>2</v>
      </c>
      <c r="K19" s="28">
        <f t="shared" si="7"/>
        <v>26</v>
      </c>
    </row>
    <row r="20" spans="1:11" x14ac:dyDescent="0.25">
      <c r="A20" s="25">
        <v>7</v>
      </c>
      <c r="B20" s="26">
        <v>45842</v>
      </c>
      <c r="C20" s="9" t="str">
        <f t="shared" si="6"/>
        <v>Vie</v>
      </c>
      <c r="D20" s="27">
        <v>0</v>
      </c>
      <c r="E20" s="27">
        <v>2</v>
      </c>
      <c r="F20" s="27">
        <v>3</v>
      </c>
      <c r="G20" s="27">
        <v>10</v>
      </c>
      <c r="H20" s="27">
        <v>1</v>
      </c>
      <c r="I20" s="27">
        <v>2</v>
      </c>
      <c r="J20" s="27">
        <v>1</v>
      </c>
      <c r="K20" s="28">
        <f t="shared" si="7"/>
        <v>19</v>
      </c>
    </row>
    <row r="21" spans="1:11" x14ac:dyDescent="0.25">
      <c r="A21" s="25">
        <v>8</v>
      </c>
      <c r="B21" s="26">
        <v>45843</v>
      </c>
      <c r="C21" s="9" t="str">
        <f t="shared" si="6"/>
        <v>Sáb</v>
      </c>
      <c r="D21" s="27">
        <v>1</v>
      </c>
      <c r="E21" s="27">
        <v>3</v>
      </c>
      <c r="F21" s="27">
        <v>5</v>
      </c>
      <c r="G21" s="27">
        <v>14</v>
      </c>
      <c r="H21" s="27">
        <v>2</v>
      </c>
      <c r="I21" s="27">
        <v>1</v>
      </c>
      <c r="J21" s="27">
        <v>2</v>
      </c>
      <c r="K21" s="28">
        <f t="shared" si="7"/>
        <v>28</v>
      </c>
    </row>
    <row r="22" spans="1:11" x14ac:dyDescent="0.25">
      <c r="A22" s="25">
        <v>9</v>
      </c>
      <c r="B22" s="26">
        <v>45844</v>
      </c>
      <c r="C22" s="9" t="str">
        <f t="shared" si="6"/>
        <v>Dom</v>
      </c>
      <c r="D22" s="27">
        <v>2</v>
      </c>
      <c r="E22" s="27">
        <v>3</v>
      </c>
      <c r="F22" s="27">
        <v>11</v>
      </c>
      <c r="G22" s="27">
        <v>26</v>
      </c>
      <c r="H22" s="27">
        <v>7</v>
      </c>
      <c r="I22" s="27">
        <v>2</v>
      </c>
      <c r="J22" s="27">
        <v>3</v>
      </c>
      <c r="K22" s="28">
        <f t="shared" si="7"/>
        <v>54</v>
      </c>
    </row>
    <row r="23" spans="1:11" x14ac:dyDescent="0.25">
      <c r="A23" s="25">
        <v>10</v>
      </c>
      <c r="B23" s="26">
        <v>45845</v>
      </c>
      <c r="C23" s="9" t="str">
        <f t="shared" si="6"/>
        <v>Lun</v>
      </c>
      <c r="D23" s="27">
        <v>1</v>
      </c>
      <c r="E23" s="27">
        <v>1</v>
      </c>
      <c r="F23" s="27">
        <v>2</v>
      </c>
      <c r="G23" s="27">
        <v>12</v>
      </c>
      <c r="H23" s="27">
        <v>8</v>
      </c>
      <c r="I23" s="27">
        <v>2</v>
      </c>
      <c r="J23" s="27">
        <v>2</v>
      </c>
      <c r="K23" s="28">
        <f t="shared" si="7"/>
        <v>28</v>
      </c>
    </row>
    <row r="24" spans="1:11" x14ac:dyDescent="0.25">
      <c r="A24" s="25">
        <v>11</v>
      </c>
      <c r="B24" s="26">
        <v>45846</v>
      </c>
      <c r="C24" s="9" t="str">
        <f t="shared" si="6"/>
        <v>Mar</v>
      </c>
      <c r="D24" s="27">
        <v>3</v>
      </c>
      <c r="E24" s="27">
        <v>2</v>
      </c>
      <c r="F24" s="27">
        <v>5</v>
      </c>
      <c r="G24" s="27">
        <v>6</v>
      </c>
      <c r="H24" s="27">
        <v>4</v>
      </c>
      <c r="I24" s="27">
        <v>1</v>
      </c>
      <c r="J24" s="27">
        <v>3</v>
      </c>
      <c r="K24" s="28">
        <f t="shared" si="7"/>
        <v>24</v>
      </c>
    </row>
    <row r="25" spans="1:11" x14ac:dyDescent="0.25">
      <c r="A25" s="25">
        <v>12</v>
      </c>
      <c r="B25" s="26">
        <v>45847</v>
      </c>
      <c r="C25" s="9" t="str">
        <f t="shared" si="6"/>
        <v>Mié</v>
      </c>
      <c r="D25" s="27">
        <v>2</v>
      </c>
      <c r="E25" s="27">
        <v>4</v>
      </c>
      <c r="F25" s="27">
        <v>3</v>
      </c>
      <c r="G25" s="27">
        <v>8</v>
      </c>
      <c r="H25" s="27">
        <v>2</v>
      </c>
      <c r="I25" s="27">
        <v>2</v>
      </c>
      <c r="J25" s="27">
        <v>2</v>
      </c>
      <c r="K25" s="28">
        <f t="shared" si="7"/>
        <v>23</v>
      </c>
    </row>
    <row r="26" spans="1:11" x14ac:dyDescent="0.25">
      <c r="A26" s="25">
        <v>13</v>
      </c>
      <c r="B26" s="26">
        <v>45848</v>
      </c>
      <c r="C26" s="9" t="str">
        <f t="shared" si="6"/>
        <v>Jue</v>
      </c>
      <c r="D26" s="27">
        <v>4</v>
      </c>
      <c r="E26" s="27">
        <v>1</v>
      </c>
      <c r="F26" s="27">
        <v>4</v>
      </c>
      <c r="G26" s="27">
        <v>3</v>
      </c>
      <c r="H26" s="27">
        <v>2</v>
      </c>
      <c r="I26" s="27">
        <v>1</v>
      </c>
      <c r="J26" s="27">
        <v>2</v>
      </c>
      <c r="K26" s="28">
        <f t="shared" si="7"/>
        <v>17</v>
      </c>
    </row>
    <row r="27" spans="1:11" x14ac:dyDescent="0.25">
      <c r="A27" s="25">
        <v>14</v>
      </c>
      <c r="B27" s="26">
        <v>45849</v>
      </c>
      <c r="C27" s="9" t="str">
        <f t="shared" si="6"/>
        <v>Vie</v>
      </c>
      <c r="D27" s="27">
        <v>3</v>
      </c>
      <c r="E27" s="27">
        <v>3</v>
      </c>
      <c r="F27" s="27">
        <v>4</v>
      </c>
      <c r="G27" s="27">
        <v>7</v>
      </c>
      <c r="H27" s="27">
        <v>5</v>
      </c>
      <c r="I27" s="27">
        <v>1</v>
      </c>
      <c r="J27" s="27">
        <v>3</v>
      </c>
      <c r="K27" s="28">
        <f t="shared" si="7"/>
        <v>26</v>
      </c>
    </row>
    <row r="28" spans="1:11" x14ac:dyDescent="0.25">
      <c r="A28" s="25">
        <v>15</v>
      </c>
      <c r="B28" s="26">
        <v>45850</v>
      </c>
      <c r="C28" s="9" t="str">
        <f t="shared" si="6"/>
        <v>Sáb</v>
      </c>
      <c r="D28" s="27">
        <v>2</v>
      </c>
      <c r="E28" s="27">
        <v>2</v>
      </c>
      <c r="F28" s="27">
        <v>1</v>
      </c>
      <c r="G28" s="27">
        <v>21</v>
      </c>
      <c r="H28" s="27">
        <v>2</v>
      </c>
      <c r="I28" s="27">
        <v>2</v>
      </c>
      <c r="J28" s="27">
        <v>2</v>
      </c>
      <c r="K28" s="28">
        <f t="shared" si="7"/>
        <v>32</v>
      </c>
    </row>
    <row r="29" spans="1:11" x14ac:dyDescent="0.25">
      <c r="A29" s="25">
        <v>16</v>
      </c>
      <c r="B29" s="26">
        <v>45851</v>
      </c>
      <c r="C29" s="9" t="str">
        <f t="shared" si="6"/>
        <v>Dom</v>
      </c>
      <c r="D29" s="27">
        <v>3</v>
      </c>
      <c r="E29" s="27">
        <v>4</v>
      </c>
      <c r="F29" s="27">
        <v>5</v>
      </c>
      <c r="G29" s="27">
        <v>29</v>
      </c>
      <c r="H29" s="27">
        <v>0</v>
      </c>
      <c r="I29" s="27">
        <v>1</v>
      </c>
      <c r="J29" s="27">
        <v>2</v>
      </c>
      <c r="K29" s="28">
        <f t="shared" si="7"/>
        <v>44</v>
      </c>
    </row>
    <row r="30" spans="1:11" x14ac:dyDescent="0.25">
      <c r="A30" s="25">
        <v>17</v>
      </c>
      <c r="B30" s="26">
        <v>45852</v>
      </c>
      <c r="C30" s="9" t="str">
        <f t="shared" si="6"/>
        <v>Lun</v>
      </c>
      <c r="D30" s="27">
        <v>2</v>
      </c>
      <c r="E30" s="27">
        <v>2</v>
      </c>
      <c r="F30" s="27">
        <v>2</v>
      </c>
      <c r="G30" s="27">
        <v>15</v>
      </c>
      <c r="H30" s="27">
        <v>4</v>
      </c>
      <c r="I30" s="27">
        <v>2</v>
      </c>
      <c r="J30" s="27">
        <v>3</v>
      </c>
      <c r="K30" s="28">
        <f t="shared" si="7"/>
        <v>30</v>
      </c>
    </row>
    <row r="31" spans="1:11" x14ac:dyDescent="0.25">
      <c r="A31" s="25">
        <v>18</v>
      </c>
      <c r="B31" s="26">
        <v>45853</v>
      </c>
      <c r="C31" s="9" t="str">
        <f t="shared" si="6"/>
        <v>Mar</v>
      </c>
      <c r="D31" s="27">
        <v>1</v>
      </c>
      <c r="E31" s="27">
        <v>3</v>
      </c>
      <c r="F31" s="27">
        <v>1</v>
      </c>
      <c r="G31" s="27">
        <v>10</v>
      </c>
      <c r="H31" s="27">
        <v>2</v>
      </c>
      <c r="I31" s="27">
        <v>1</v>
      </c>
      <c r="J31" s="27">
        <v>2</v>
      </c>
      <c r="K31" s="28">
        <f t="shared" si="7"/>
        <v>20</v>
      </c>
    </row>
    <row r="32" spans="1:11" x14ac:dyDescent="0.25">
      <c r="A32" s="25">
        <v>19</v>
      </c>
      <c r="B32" s="26">
        <v>45854</v>
      </c>
      <c r="C32" s="9" t="str">
        <f t="shared" si="6"/>
        <v>Mié</v>
      </c>
      <c r="D32" s="27">
        <v>0</v>
      </c>
      <c r="E32" s="27">
        <v>1</v>
      </c>
      <c r="F32" s="27">
        <v>0</v>
      </c>
      <c r="G32" s="27">
        <v>13</v>
      </c>
      <c r="H32" s="27">
        <v>3</v>
      </c>
      <c r="I32" s="27">
        <v>2</v>
      </c>
      <c r="J32" s="27">
        <v>1</v>
      </c>
      <c r="K32" s="28">
        <f t="shared" si="7"/>
        <v>20</v>
      </c>
    </row>
    <row r="33" spans="1:11" x14ac:dyDescent="0.25">
      <c r="A33" s="25">
        <v>20</v>
      </c>
      <c r="B33" s="26">
        <v>45855</v>
      </c>
      <c r="C33" s="9" t="str">
        <f t="shared" si="6"/>
        <v>Jue</v>
      </c>
      <c r="D33" s="27">
        <v>0</v>
      </c>
      <c r="E33" s="27">
        <v>4</v>
      </c>
      <c r="F33" s="27">
        <v>2</v>
      </c>
      <c r="G33" s="27">
        <v>8</v>
      </c>
      <c r="H33" s="27">
        <v>1</v>
      </c>
      <c r="I33" s="27">
        <v>1</v>
      </c>
      <c r="J33" s="27">
        <v>2</v>
      </c>
      <c r="K33" s="28">
        <f t="shared" si="7"/>
        <v>18</v>
      </c>
    </row>
    <row r="34" spans="1:11" x14ac:dyDescent="0.25">
      <c r="A34" s="25">
        <v>21</v>
      </c>
      <c r="B34" s="26">
        <v>45856</v>
      </c>
      <c r="C34" s="9" t="str">
        <f t="shared" si="6"/>
        <v>Vie</v>
      </c>
      <c r="D34" s="27">
        <v>1</v>
      </c>
      <c r="E34" s="27">
        <v>2</v>
      </c>
      <c r="F34" s="27">
        <v>0</v>
      </c>
      <c r="G34" s="27">
        <v>10</v>
      </c>
      <c r="H34" s="27">
        <v>5</v>
      </c>
      <c r="I34" s="27">
        <v>2</v>
      </c>
      <c r="J34" s="27">
        <v>3</v>
      </c>
      <c r="K34" s="28">
        <f t="shared" si="7"/>
        <v>23</v>
      </c>
    </row>
    <row r="35" spans="1:11" x14ac:dyDescent="0.25">
      <c r="A35" s="25">
        <v>22</v>
      </c>
      <c r="B35" s="26">
        <v>45857</v>
      </c>
      <c r="C35" s="9" t="str">
        <f t="shared" si="6"/>
        <v>Sáb</v>
      </c>
      <c r="D35" s="27">
        <v>3</v>
      </c>
      <c r="E35" s="27">
        <v>1</v>
      </c>
      <c r="F35" s="27">
        <v>1</v>
      </c>
      <c r="G35" s="27">
        <v>17</v>
      </c>
      <c r="H35" s="27">
        <v>3</v>
      </c>
      <c r="I35" s="27">
        <v>1</v>
      </c>
      <c r="J35" s="27">
        <v>2</v>
      </c>
      <c r="K35" s="28">
        <f t="shared" si="7"/>
        <v>28</v>
      </c>
    </row>
    <row r="36" spans="1:11" x14ac:dyDescent="0.25">
      <c r="A36" s="25">
        <v>23</v>
      </c>
      <c r="B36" s="26">
        <v>45858</v>
      </c>
      <c r="C36" s="9" t="str">
        <f t="shared" si="6"/>
        <v>Dom</v>
      </c>
      <c r="D36" s="27">
        <v>0</v>
      </c>
      <c r="E36" s="27">
        <v>5</v>
      </c>
      <c r="F36" s="27">
        <v>4</v>
      </c>
      <c r="G36" s="27">
        <v>29</v>
      </c>
      <c r="H36" s="27">
        <v>6</v>
      </c>
      <c r="I36" s="27">
        <v>2</v>
      </c>
      <c r="J36" s="27">
        <v>1</v>
      </c>
      <c r="K36" s="28">
        <f t="shared" si="7"/>
        <v>47</v>
      </c>
    </row>
    <row r="37" spans="1:11" x14ac:dyDescent="0.25">
      <c r="A37" s="25">
        <v>24</v>
      </c>
      <c r="B37" s="26">
        <v>45859</v>
      </c>
      <c r="C37" s="9" t="str">
        <f t="shared" si="6"/>
        <v>Lun</v>
      </c>
      <c r="D37" s="27">
        <v>1</v>
      </c>
      <c r="E37" s="27">
        <v>3</v>
      </c>
      <c r="F37" s="27">
        <v>2</v>
      </c>
      <c r="G37" s="27">
        <v>9</v>
      </c>
      <c r="H37" s="27">
        <v>2</v>
      </c>
      <c r="I37" s="27">
        <v>1</v>
      </c>
      <c r="J37" s="27">
        <v>2</v>
      </c>
      <c r="K37" s="28">
        <f t="shared" si="7"/>
        <v>20</v>
      </c>
    </row>
    <row r="38" spans="1:11" x14ac:dyDescent="0.25">
      <c r="A38" s="25">
        <v>25</v>
      </c>
      <c r="B38" s="26">
        <v>45860</v>
      </c>
      <c r="C38" s="9" t="str">
        <f t="shared" si="6"/>
        <v>Mar</v>
      </c>
      <c r="D38" s="27">
        <v>2</v>
      </c>
      <c r="E38" s="27">
        <v>2</v>
      </c>
      <c r="F38" s="27">
        <v>0</v>
      </c>
      <c r="G38" s="27">
        <v>13</v>
      </c>
      <c r="H38" s="27">
        <v>4</v>
      </c>
      <c r="I38" s="27">
        <v>2</v>
      </c>
      <c r="J38" s="27">
        <v>3</v>
      </c>
      <c r="K38" s="28">
        <f t="shared" si="7"/>
        <v>26</v>
      </c>
    </row>
    <row r="39" spans="1:11" x14ac:dyDescent="0.25">
      <c r="A39" s="25">
        <v>26</v>
      </c>
      <c r="B39" s="26">
        <v>45861</v>
      </c>
      <c r="C39" s="9" t="str">
        <f t="shared" si="6"/>
        <v>Mié</v>
      </c>
      <c r="D39" s="27">
        <v>1</v>
      </c>
      <c r="E39" s="27">
        <v>0</v>
      </c>
      <c r="F39" s="27">
        <v>1</v>
      </c>
      <c r="G39" s="27">
        <v>16</v>
      </c>
      <c r="H39" s="27">
        <v>2</v>
      </c>
      <c r="I39" s="27">
        <v>2</v>
      </c>
      <c r="J39" s="27">
        <v>2</v>
      </c>
      <c r="K39" s="28">
        <f t="shared" si="7"/>
        <v>24</v>
      </c>
    </row>
    <row r="40" spans="1:11" x14ac:dyDescent="0.25">
      <c r="A40" s="25">
        <v>27</v>
      </c>
      <c r="B40" s="26">
        <v>45862</v>
      </c>
      <c r="C40" s="9" t="str">
        <f t="shared" si="6"/>
        <v>Jue</v>
      </c>
      <c r="D40" s="27">
        <v>0</v>
      </c>
      <c r="E40" s="27">
        <v>1</v>
      </c>
      <c r="F40" s="27">
        <v>2</v>
      </c>
      <c r="G40" s="27">
        <v>11</v>
      </c>
      <c r="H40" s="27">
        <v>1</v>
      </c>
      <c r="I40" s="27">
        <v>1</v>
      </c>
      <c r="J40" s="27">
        <v>3</v>
      </c>
      <c r="K40" s="28">
        <f t="shared" si="7"/>
        <v>19</v>
      </c>
    </row>
    <row r="41" spans="1:11" x14ac:dyDescent="0.25">
      <c r="A41" s="25">
        <v>28</v>
      </c>
      <c r="B41" s="26">
        <v>45863</v>
      </c>
      <c r="C41" s="9" t="str">
        <f t="shared" si="6"/>
        <v>Vie</v>
      </c>
      <c r="D41" s="27">
        <v>0</v>
      </c>
      <c r="E41" s="27">
        <v>4</v>
      </c>
      <c r="F41" s="27">
        <v>1</v>
      </c>
      <c r="G41" s="27">
        <v>15</v>
      </c>
      <c r="H41" s="27">
        <v>4</v>
      </c>
      <c r="I41" s="27">
        <v>2</v>
      </c>
      <c r="J41" s="27">
        <v>2</v>
      </c>
      <c r="K41" s="28">
        <f t="shared" si="7"/>
        <v>28</v>
      </c>
    </row>
    <row r="42" spans="1:11" x14ac:dyDescent="0.25">
      <c r="A42" s="25">
        <v>29</v>
      </c>
      <c r="B42" s="26">
        <v>45864</v>
      </c>
      <c r="C42" s="9" t="str">
        <f t="shared" si="6"/>
        <v>Sáb</v>
      </c>
      <c r="D42" s="27">
        <v>1</v>
      </c>
      <c r="E42" s="27">
        <v>2</v>
      </c>
      <c r="F42" s="27">
        <v>4</v>
      </c>
      <c r="G42" s="27">
        <v>19</v>
      </c>
      <c r="H42" s="27">
        <v>2</v>
      </c>
      <c r="I42" s="27">
        <v>1</v>
      </c>
      <c r="J42" s="27">
        <v>2</v>
      </c>
      <c r="K42" s="28">
        <f t="shared" si="7"/>
        <v>31</v>
      </c>
    </row>
    <row r="43" spans="1:11" x14ac:dyDescent="0.25">
      <c r="A43" s="25">
        <v>30</v>
      </c>
      <c r="B43" s="26">
        <v>45865</v>
      </c>
      <c r="C43" s="9" t="str">
        <f t="shared" si="6"/>
        <v>Dom</v>
      </c>
      <c r="D43" s="27">
        <v>3</v>
      </c>
      <c r="E43" s="27">
        <v>5</v>
      </c>
      <c r="F43" s="27">
        <v>5</v>
      </c>
      <c r="G43" s="27">
        <v>23</v>
      </c>
      <c r="H43" s="27">
        <v>5</v>
      </c>
      <c r="I43" s="27">
        <v>1</v>
      </c>
      <c r="J43" s="27">
        <v>3</v>
      </c>
      <c r="K43" s="28">
        <f t="shared" si="7"/>
        <v>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1E3A"/>
  </sheetPr>
  <dimension ref="A1:K44"/>
  <sheetViews>
    <sheetView showGridLines="0" zoomScaleNormal="100" workbookViewId="0">
      <pane xSplit="3" ySplit="13" topLeftCell="D14" activePane="bottomRight" state="frozen"/>
      <selection pane="topRight" activeCell="D1" sqref="D1"/>
      <selection pane="bottomLeft" activeCell="A14" sqref="A14"/>
      <selection pane="bottomRight" activeCell="A2" sqref="A2"/>
    </sheetView>
  </sheetViews>
  <sheetFormatPr baseColWidth="10" defaultColWidth="8.7109375" defaultRowHeight="15" x14ac:dyDescent="0.25"/>
  <cols>
    <col min="1" max="1" width="24" customWidth="1"/>
    <col min="2" max="2" width="12" customWidth="1"/>
    <col min="3" max="3" width="9" customWidth="1"/>
    <col min="4" max="11" width="10" customWidth="1"/>
  </cols>
  <sheetData>
    <row r="1" spans="1:11" ht="18" x14ac:dyDescent="0.25">
      <c r="A1" s="1" t="s">
        <v>108</v>
      </c>
    </row>
    <row r="2" spans="1:11" x14ac:dyDescent="0.25">
      <c r="A2" s="2"/>
    </row>
    <row r="4" spans="1:11" ht="19.5" customHeight="1" x14ac:dyDescent="0.25">
      <c r="A4" s="7" t="s">
        <v>89</v>
      </c>
      <c r="B4" s="7"/>
      <c r="C4" s="7"/>
      <c r="D4" s="7" t="s">
        <v>90</v>
      </c>
      <c r="E4" s="7" t="s">
        <v>91</v>
      </c>
      <c r="F4" s="7" t="s">
        <v>92</v>
      </c>
      <c r="G4" s="7" t="s">
        <v>93</v>
      </c>
      <c r="H4" s="7" t="s">
        <v>94</v>
      </c>
      <c r="I4" s="7" t="s">
        <v>95</v>
      </c>
      <c r="J4" s="7" t="s">
        <v>96</v>
      </c>
      <c r="K4" s="7" t="s">
        <v>97</v>
      </c>
    </row>
    <row r="5" spans="1:11" x14ac:dyDescent="0.25">
      <c r="A5" s="3" t="s">
        <v>98</v>
      </c>
      <c r="B5" s="22"/>
      <c r="C5" s="22"/>
      <c r="D5" s="23">
        <f t="shared" ref="D5:K5" si="0">AVERAGE(D14:D44)</f>
        <v>4.4838709677419351</v>
      </c>
      <c r="E5" s="23">
        <f t="shared" si="0"/>
        <v>4.935483870967742</v>
      </c>
      <c r="F5" s="23">
        <f t="shared" si="0"/>
        <v>2.806451612903226</v>
      </c>
      <c r="G5" s="23">
        <f t="shared" si="0"/>
        <v>4.4516129032258061</v>
      </c>
      <c r="H5" s="23">
        <f t="shared" si="0"/>
        <v>4.838709677419355</v>
      </c>
      <c r="I5" s="23">
        <f t="shared" si="0"/>
        <v>4.225806451612903</v>
      </c>
      <c r="J5" s="23">
        <f t="shared" si="0"/>
        <v>4.258064516129032</v>
      </c>
      <c r="K5" s="23">
        <f t="shared" si="0"/>
        <v>30</v>
      </c>
    </row>
    <row r="6" spans="1:11" x14ac:dyDescent="0.25">
      <c r="A6" s="3" t="s">
        <v>99</v>
      </c>
      <c r="B6" s="22"/>
      <c r="C6" s="22"/>
      <c r="D6" s="23">
        <f t="shared" ref="D6:K6" si="1">MEDIAN(D14:D44)</f>
        <v>4</v>
      </c>
      <c r="E6" s="23">
        <f t="shared" si="1"/>
        <v>5</v>
      </c>
      <c r="F6" s="23">
        <f t="shared" si="1"/>
        <v>2</v>
      </c>
      <c r="G6" s="23">
        <f t="shared" si="1"/>
        <v>4</v>
      </c>
      <c r="H6" s="23">
        <f t="shared" si="1"/>
        <v>6</v>
      </c>
      <c r="I6" s="23">
        <f t="shared" si="1"/>
        <v>5</v>
      </c>
      <c r="J6" s="23">
        <f t="shared" si="1"/>
        <v>4</v>
      </c>
      <c r="K6" s="23">
        <f t="shared" si="1"/>
        <v>31</v>
      </c>
    </row>
    <row r="7" spans="1:11" x14ac:dyDescent="0.25">
      <c r="A7" s="3" t="s">
        <v>100</v>
      </c>
      <c r="B7" s="22"/>
      <c r="C7" s="22"/>
      <c r="D7" s="23">
        <f t="shared" ref="D7:K7" si="2">STDEV(D14:D44)</f>
        <v>2.0472903676475318</v>
      </c>
      <c r="E7" s="23">
        <f t="shared" si="2"/>
        <v>2.0483405294850714</v>
      </c>
      <c r="F7" s="23">
        <f t="shared" si="2"/>
        <v>1.9902990535546776</v>
      </c>
      <c r="G7" s="23">
        <f t="shared" si="2"/>
        <v>2.3070718768953187</v>
      </c>
      <c r="H7" s="23">
        <f t="shared" si="2"/>
        <v>2.381830867120899</v>
      </c>
      <c r="I7" s="23">
        <f t="shared" si="2"/>
        <v>2.2466223153785747</v>
      </c>
      <c r="J7" s="23">
        <f t="shared" si="2"/>
        <v>2.4895480437954176</v>
      </c>
      <c r="K7" s="23">
        <f t="shared" si="2"/>
        <v>6.8992753242641358</v>
      </c>
    </row>
    <row r="8" spans="1:11" x14ac:dyDescent="0.25">
      <c r="A8" s="3" t="s">
        <v>101</v>
      </c>
      <c r="B8" s="22"/>
      <c r="C8" s="22"/>
      <c r="D8" s="23">
        <f t="shared" ref="D8:K8" si="3">MIN(D14:D44)</f>
        <v>1</v>
      </c>
      <c r="E8" s="23">
        <f t="shared" si="3"/>
        <v>1</v>
      </c>
      <c r="F8" s="23">
        <f t="shared" si="3"/>
        <v>1</v>
      </c>
      <c r="G8" s="23">
        <f t="shared" si="3"/>
        <v>1</v>
      </c>
      <c r="H8" s="23">
        <f t="shared" si="3"/>
        <v>1</v>
      </c>
      <c r="I8" s="23">
        <f t="shared" si="3"/>
        <v>1</v>
      </c>
      <c r="J8" s="23">
        <f t="shared" si="3"/>
        <v>1</v>
      </c>
      <c r="K8" s="23">
        <f t="shared" si="3"/>
        <v>18</v>
      </c>
    </row>
    <row r="9" spans="1:11" x14ac:dyDescent="0.25">
      <c r="A9" s="3" t="s">
        <v>102</v>
      </c>
      <c r="B9" s="22"/>
      <c r="C9" s="22"/>
      <c r="D9" s="23">
        <f t="shared" ref="D9:K9" si="4">MAX(D14:D44)</f>
        <v>8</v>
      </c>
      <c r="E9" s="23">
        <f t="shared" si="4"/>
        <v>8</v>
      </c>
      <c r="F9" s="23">
        <f t="shared" si="4"/>
        <v>7</v>
      </c>
      <c r="G9" s="23">
        <f t="shared" si="4"/>
        <v>8</v>
      </c>
      <c r="H9" s="23">
        <f t="shared" si="4"/>
        <v>8</v>
      </c>
      <c r="I9" s="23">
        <f t="shared" si="4"/>
        <v>8</v>
      </c>
      <c r="J9" s="23">
        <f t="shared" si="4"/>
        <v>8</v>
      </c>
      <c r="K9" s="23">
        <f t="shared" si="4"/>
        <v>43</v>
      </c>
    </row>
    <row r="10" spans="1:11" x14ac:dyDescent="0.25">
      <c r="A10" s="3" t="s">
        <v>103</v>
      </c>
      <c r="B10" s="22"/>
      <c r="C10" s="22"/>
      <c r="D10" s="24">
        <f t="shared" ref="D10:K10" si="5">IF(D5=0,0,D7/D5)</f>
        <v>0.45658993810844239</v>
      </c>
      <c r="E10" s="24">
        <f t="shared" si="5"/>
        <v>0.41502324453619094</v>
      </c>
      <c r="F10" s="24">
        <f t="shared" si="5"/>
        <v>0.70918701908270121</v>
      </c>
      <c r="G10" s="24">
        <f t="shared" si="5"/>
        <v>0.51825527669387594</v>
      </c>
      <c r="H10" s="24">
        <f t="shared" si="5"/>
        <v>0.49224504587165246</v>
      </c>
      <c r="I10" s="24">
        <f t="shared" si="5"/>
        <v>0.53164344867737268</v>
      </c>
      <c r="J10" s="24">
        <f t="shared" si="5"/>
        <v>0.58466658604286326</v>
      </c>
      <c r="K10" s="24">
        <f t="shared" si="5"/>
        <v>0.22997584414213787</v>
      </c>
    </row>
    <row r="12" spans="1:11" x14ac:dyDescent="0.25">
      <c r="A12" s="5" t="s">
        <v>104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x14ac:dyDescent="0.25">
      <c r="A13" s="7" t="s">
        <v>105</v>
      </c>
      <c r="B13" s="7" t="s">
        <v>106</v>
      </c>
      <c r="C13" s="7" t="s">
        <v>107</v>
      </c>
      <c r="D13" s="7" t="s">
        <v>90</v>
      </c>
      <c r="E13" s="7" t="s">
        <v>91</v>
      </c>
      <c r="F13" s="7" t="s">
        <v>92</v>
      </c>
      <c r="G13" s="7" t="s">
        <v>93</v>
      </c>
      <c r="H13" s="7" t="s">
        <v>94</v>
      </c>
      <c r="I13" s="7" t="s">
        <v>95</v>
      </c>
      <c r="J13" s="7" t="s">
        <v>96</v>
      </c>
      <c r="K13" s="7" t="s">
        <v>97</v>
      </c>
    </row>
    <row r="14" spans="1:11" x14ac:dyDescent="0.25">
      <c r="A14" s="25">
        <v>1</v>
      </c>
      <c r="B14" s="26">
        <v>46235</v>
      </c>
      <c r="C14" s="9" t="str">
        <f t="shared" ref="C14:C44" si="6">CHOOSE(WEEKDAY(B14,2),"Lun","Mar","Mié","Jue","Vie","Sáb","Dom")</f>
        <v>Sáb</v>
      </c>
      <c r="D14" s="27">
        <v>2</v>
      </c>
      <c r="E14" s="27">
        <v>6</v>
      </c>
      <c r="F14" s="27">
        <v>1</v>
      </c>
      <c r="G14" s="27">
        <v>4</v>
      </c>
      <c r="H14" s="27">
        <v>6</v>
      </c>
      <c r="I14" s="27">
        <v>5</v>
      </c>
      <c r="J14" s="27">
        <v>7</v>
      </c>
      <c r="K14" s="28">
        <f t="shared" ref="K14:K44" si="7">SUM(D14:J14)</f>
        <v>31</v>
      </c>
    </row>
    <row r="15" spans="1:11" x14ac:dyDescent="0.25">
      <c r="A15" s="25">
        <v>2</v>
      </c>
      <c r="B15" s="26">
        <v>46236</v>
      </c>
      <c r="C15" s="9" t="str">
        <f t="shared" si="6"/>
        <v>Dom</v>
      </c>
      <c r="D15" s="27">
        <v>8</v>
      </c>
      <c r="E15" s="27">
        <v>3</v>
      </c>
      <c r="F15" s="27">
        <v>5</v>
      </c>
      <c r="G15" s="27">
        <v>1</v>
      </c>
      <c r="H15" s="27">
        <v>1</v>
      </c>
      <c r="I15" s="27">
        <v>3</v>
      </c>
      <c r="J15" s="27">
        <v>2</v>
      </c>
      <c r="K15" s="28">
        <f t="shared" si="7"/>
        <v>23</v>
      </c>
    </row>
    <row r="16" spans="1:11" x14ac:dyDescent="0.25">
      <c r="A16" s="25">
        <v>3</v>
      </c>
      <c r="B16" s="26">
        <v>46237</v>
      </c>
      <c r="C16" s="9" t="str">
        <f t="shared" si="6"/>
        <v>Lun</v>
      </c>
      <c r="D16" s="27">
        <v>5</v>
      </c>
      <c r="E16" s="27">
        <v>1</v>
      </c>
      <c r="F16" s="27">
        <v>6</v>
      </c>
      <c r="G16" s="27">
        <v>5</v>
      </c>
      <c r="H16" s="27">
        <v>5</v>
      </c>
      <c r="I16" s="27">
        <v>6</v>
      </c>
      <c r="J16" s="27">
        <v>8</v>
      </c>
      <c r="K16" s="28">
        <f t="shared" si="7"/>
        <v>36</v>
      </c>
    </row>
    <row r="17" spans="1:11" x14ac:dyDescent="0.25">
      <c r="A17" s="25">
        <v>4</v>
      </c>
      <c r="B17" s="26">
        <v>46238</v>
      </c>
      <c r="C17" s="9" t="str">
        <f t="shared" si="6"/>
        <v>Mar</v>
      </c>
      <c r="D17" s="27">
        <v>4</v>
      </c>
      <c r="E17" s="27">
        <v>2</v>
      </c>
      <c r="F17" s="27">
        <v>2</v>
      </c>
      <c r="G17" s="27">
        <v>5</v>
      </c>
      <c r="H17" s="27">
        <v>8</v>
      </c>
      <c r="I17" s="27">
        <v>5</v>
      </c>
      <c r="J17" s="27">
        <v>1</v>
      </c>
      <c r="K17" s="28">
        <f t="shared" si="7"/>
        <v>27</v>
      </c>
    </row>
    <row r="18" spans="1:11" x14ac:dyDescent="0.25">
      <c r="A18" s="25">
        <v>5</v>
      </c>
      <c r="B18" s="26">
        <v>46239</v>
      </c>
      <c r="C18" s="9" t="str">
        <f t="shared" si="6"/>
        <v>Mié</v>
      </c>
      <c r="D18" s="27">
        <v>4</v>
      </c>
      <c r="E18" s="27">
        <v>5</v>
      </c>
      <c r="F18" s="27">
        <v>1</v>
      </c>
      <c r="G18" s="27">
        <v>5</v>
      </c>
      <c r="H18" s="27">
        <v>1</v>
      </c>
      <c r="I18" s="27">
        <v>2</v>
      </c>
      <c r="J18" s="27">
        <v>2</v>
      </c>
      <c r="K18" s="28">
        <f t="shared" si="7"/>
        <v>20</v>
      </c>
    </row>
    <row r="19" spans="1:11" x14ac:dyDescent="0.25">
      <c r="A19" s="25">
        <v>6</v>
      </c>
      <c r="B19" s="26">
        <v>46240</v>
      </c>
      <c r="C19" s="9" t="str">
        <f t="shared" si="6"/>
        <v>Jue</v>
      </c>
      <c r="D19" s="27">
        <v>5</v>
      </c>
      <c r="E19" s="27">
        <v>4</v>
      </c>
      <c r="F19" s="27">
        <v>2</v>
      </c>
      <c r="G19" s="27">
        <v>6</v>
      </c>
      <c r="H19" s="27">
        <v>6</v>
      </c>
      <c r="I19" s="27">
        <v>5</v>
      </c>
      <c r="J19" s="27">
        <v>4</v>
      </c>
      <c r="K19" s="28">
        <f t="shared" si="7"/>
        <v>32</v>
      </c>
    </row>
    <row r="20" spans="1:11" x14ac:dyDescent="0.25">
      <c r="A20" s="25">
        <v>7</v>
      </c>
      <c r="B20" s="26">
        <v>46241</v>
      </c>
      <c r="C20" s="9" t="str">
        <f t="shared" si="6"/>
        <v>Vie</v>
      </c>
      <c r="D20" s="27">
        <v>8</v>
      </c>
      <c r="E20" s="27">
        <v>6</v>
      </c>
      <c r="F20" s="27">
        <v>2</v>
      </c>
      <c r="G20" s="27">
        <v>5</v>
      </c>
      <c r="H20" s="27">
        <v>6</v>
      </c>
      <c r="I20" s="27">
        <v>3</v>
      </c>
      <c r="J20" s="27">
        <v>4</v>
      </c>
      <c r="K20" s="28">
        <f t="shared" si="7"/>
        <v>34</v>
      </c>
    </row>
    <row r="21" spans="1:11" x14ac:dyDescent="0.25">
      <c r="A21" s="25">
        <v>8</v>
      </c>
      <c r="B21" s="26">
        <v>46242</v>
      </c>
      <c r="C21" s="9" t="str">
        <f t="shared" si="6"/>
        <v>Sáb</v>
      </c>
      <c r="D21" s="27">
        <v>8</v>
      </c>
      <c r="E21" s="27">
        <v>2</v>
      </c>
      <c r="F21" s="27">
        <v>4</v>
      </c>
      <c r="G21" s="27">
        <v>1</v>
      </c>
      <c r="H21" s="27">
        <v>7</v>
      </c>
      <c r="I21" s="27">
        <v>8</v>
      </c>
      <c r="J21" s="27">
        <v>8</v>
      </c>
      <c r="K21" s="28">
        <f t="shared" si="7"/>
        <v>38</v>
      </c>
    </row>
    <row r="22" spans="1:11" x14ac:dyDescent="0.25">
      <c r="A22" s="25">
        <v>9</v>
      </c>
      <c r="B22" s="26">
        <v>46243</v>
      </c>
      <c r="C22" s="9" t="str">
        <f t="shared" si="6"/>
        <v>Dom</v>
      </c>
      <c r="D22" s="27">
        <v>6</v>
      </c>
      <c r="E22" s="27">
        <v>5</v>
      </c>
      <c r="F22" s="27">
        <v>5</v>
      </c>
      <c r="G22" s="27">
        <v>7</v>
      </c>
      <c r="H22" s="27">
        <v>5</v>
      </c>
      <c r="I22" s="27">
        <v>2</v>
      </c>
      <c r="J22" s="27">
        <v>2</v>
      </c>
      <c r="K22" s="28">
        <f t="shared" si="7"/>
        <v>32</v>
      </c>
    </row>
    <row r="23" spans="1:11" x14ac:dyDescent="0.25">
      <c r="A23" s="25">
        <v>10</v>
      </c>
      <c r="B23" s="26">
        <v>46244</v>
      </c>
      <c r="C23" s="9" t="str">
        <f t="shared" si="6"/>
        <v>Lun</v>
      </c>
      <c r="D23" s="27">
        <v>4</v>
      </c>
      <c r="E23" s="27">
        <v>4</v>
      </c>
      <c r="F23" s="27">
        <v>1</v>
      </c>
      <c r="G23" s="27">
        <v>8</v>
      </c>
      <c r="H23" s="27">
        <v>7</v>
      </c>
      <c r="I23" s="27">
        <v>1</v>
      </c>
      <c r="J23" s="27">
        <v>4</v>
      </c>
      <c r="K23" s="28">
        <f t="shared" si="7"/>
        <v>29</v>
      </c>
    </row>
    <row r="24" spans="1:11" x14ac:dyDescent="0.25">
      <c r="A24" s="25">
        <v>11</v>
      </c>
      <c r="B24" s="26">
        <v>46245</v>
      </c>
      <c r="C24" s="9" t="str">
        <f t="shared" si="6"/>
        <v>Mar</v>
      </c>
      <c r="D24" s="27">
        <v>4</v>
      </c>
      <c r="E24" s="27">
        <v>3</v>
      </c>
      <c r="F24" s="27">
        <v>2</v>
      </c>
      <c r="G24" s="27">
        <v>4</v>
      </c>
      <c r="H24" s="27">
        <v>4</v>
      </c>
      <c r="I24" s="27">
        <v>3</v>
      </c>
      <c r="J24" s="27">
        <v>4</v>
      </c>
      <c r="K24" s="28">
        <f t="shared" si="7"/>
        <v>24</v>
      </c>
    </row>
    <row r="25" spans="1:11" x14ac:dyDescent="0.25">
      <c r="A25" s="25">
        <v>12</v>
      </c>
      <c r="B25" s="26">
        <v>46246</v>
      </c>
      <c r="C25" s="9" t="str">
        <f t="shared" si="6"/>
        <v>Mié</v>
      </c>
      <c r="D25" s="27">
        <v>3</v>
      </c>
      <c r="E25" s="27">
        <v>4</v>
      </c>
      <c r="F25" s="27">
        <v>2</v>
      </c>
      <c r="G25" s="27">
        <v>2</v>
      </c>
      <c r="H25" s="27">
        <v>7</v>
      </c>
      <c r="I25" s="27">
        <v>8</v>
      </c>
      <c r="J25" s="27">
        <v>6</v>
      </c>
      <c r="K25" s="28">
        <f t="shared" si="7"/>
        <v>32</v>
      </c>
    </row>
    <row r="26" spans="1:11" x14ac:dyDescent="0.25">
      <c r="A26" s="25">
        <v>13</v>
      </c>
      <c r="B26" s="26">
        <v>46247</v>
      </c>
      <c r="C26" s="9" t="str">
        <f t="shared" si="6"/>
        <v>Jue</v>
      </c>
      <c r="D26" s="27">
        <v>1</v>
      </c>
      <c r="E26" s="27">
        <v>6</v>
      </c>
      <c r="F26" s="27">
        <v>1</v>
      </c>
      <c r="G26" s="27">
        <v>2</v>
      </c>
      <c r="H26" s="27">
        <v>1</v>
      </c>
      <c r="I26" s="27">
        <v>7</v>
      </c>
      <c r="J26" s="27">
        <v>4</v>
      </c>
      <c r="K26" s="28">
        <f t="shared" si="7"/>
        <v>22</v>
      </c>
    </row>
    <row r="27" spans="1:11" x14ac:dyDescent="0.25">
      <c r="A27" s="25">
        <v>14</v>
      </c>
      <c r="B27" s="26">
        <v>46248</v>
      </c>
      <c r="C27" s="9" t="str">
        <f t="shared" si="6"/>
        <v>Vie</v>
      </c>
      <c r="D27" s="27">
        <v>3</v>
      </c>
      <c r="E27" s="27">
        <v>6</v>
      </c>
      <c r="F27" s="27">
        <v>1</v>
      </c>
      <c r="G27" s="27">
        <v>2</v>
      </c>
      <c r="H27" s="27">
        <v>7</v>
      </c>
      <c r="I27" s="27">
        <v>6</v>
      </c>
      <c r="J27" s="27">
        <v>4</v>
      </c>
      <c r="K27" s="28">
        <f t="shared" si="7"/>
        <v>29</v>
      </c>
    </row>
    <row r="28" spans="1:11" x14ac:dyDescent="0.25">
      <c r="A28" s="25">
        <v>15</v>
      </c>
      <c r="B28" s="26">
        <v>46249</v>
      </c>
      <c r="C28" s="9" t="str">
        <f t="shared" si="6"/>
        <v>Sáb</v>
      </c>
      <c r="D28" s="27">
        <v>5</v>
      </c>
      <c r="E28" s="27">
        <v>1</v>
      </c>
      <c r="F28" s="27">
        <v>4</v>
      </c>
      <c r="G28" s="27">
        <v>2</v>
      </c>
      <c r="H28" s="27">
        <v>2</v>
      </c>
      <c r="I28" s="27">
        <v>3</v>
      </c>
      <c r="J28" s="27">
        <v>8</v>
      </c>
      <c r="K28" s="28">
        <f t="shared" si="7"/>
        <v>25</v>
      </c>
    </row>
    <row r="29" spans="1:11" x14ac:dyDescent="0.25">
      <c r="A29" s="25">
        <v>16</v>
      </c>
      <c r="B29" s="26">
        <v>46250</v>
      </c>
      <c r="C29" s="9" t="str">
        <f t="shared" si="6"/>
        <v>Dom</v>
      </c>
      <c r="D29" s="27">
        <v>4</v>
      </c>
      <c r="E29" s="27">
        <v>7</v>
      </c>
      <c r="F29" s="27">
        <v>7</v>
      </c>
      <c r="G29" s="27">
        <v>8</v>
      </c>
      <c r="H29" s="27">
        <v>4</v>
      </c>
      <c r="I29" s="27">
        <v>1</v>
      </c>
      <c r="J29" s="27">
        <v>8</v>
      </c>
      <c r="K29" s="28">
        <f t="shared" si="7"/>
        <v>39</v>
      </c>
    </row>
    <row r="30" spans="1:11" x14ac:dyDescent="0.25">
      <c r="A30" s="25">
        <v>17</v>
      </c>
      <c r="B30" s="26">
        <v>46251</v>
      </c>
      <c r="C30" s="9" t="str">
        <f t="shared" si="6"/>
        <v>Lun</v>
      </c>
      <c r="D30" s="27">
        <v>7</v>
      </c>
      <c r="E30" s="27">
        <v>6</v>
      </c>
      <c r="F30" s="27">
        <v>5</v>
      </c>
      <c r="G30" s="27">
        <v>6</v>
      </c>
      <c r="H30" s="27">
        <v>2</v>
      </c>
      <c r="I30" s="27">
        <v>2</v>
      </c>
      <c r="J30" s="27">
        <v>8</v>
      </c>
      <c r="K30" s="28">
        <f t="shared" si="7"/>
        <v>36</v>
      </c>
    </row>
    <row r="31" spans="1:11" x14ac:dyDescent="0.25">
      <c r="A31" s="25">
        <v>18</v>
      </c>
      <c r="B31" s="26">
        <v>46252</v>
      </c>
      <c r="C31" s="9" t="str">
        <f t="shared" si="6"/>
        <v>Mar</v>
      </c>
      <c r="D31" s="27">
        <v>3</v>
      </c>
      <c r="E31" s="27">
        <v>7</v>
      </c>
      <c r="F31" s="27">
        <v>1</v>
      </c>
      <c r="G31" s="27">
        <v>8</v>
      </c>
      <c r="H31" s="27">
        <v>8</v>
      </c>
      <c r="I31" s="27">
        <v>6</v>
      </c>
      <c r="J31" s="27">
        <v>1</v>
      </c>
      <c r="K31" s="28">
        <f t="shared" si="7"/>
        <v>34</v>
      </c>
    </row>
    <row r="32" spans="1:11" x14ac:dyDescent="0.25">
      <c r="A32" s="25">
        <v>19</v>
      </c>
      <c r="B32" s="26">
        <v>46253</v>
      </c>
      <c r="C32" s="9" t="str">
        <f t="shared" si="6"/>
        <v>Mié</v>
      </c>
      <c r="D32" s="27">
        <v>4</v>
      </c>
      <c r="E32" s="27">
        <v>7</v>
      </c>
      <c r="F32" s="27">
        <v>1</v>
      </c>
      <c r="G32" s="27">
        <v>4</v>
      </c>
      <c r="H32" s="27">
        <v>4</v>
      </c>
      <c r="I32" s="27">
        <v>1</v>
      </c>
      <c r="J32" s="27">
        <v>1</v>
      </c>
      <c r="K32" s="28">
        <f t="shared" si="7"/>
        <v>22</v>
      </c>
    </row>
    <row r="33" spans="1:11" x14ac:dyDescent="0.25">
      <c r="A33" s="25">
        <v>20</v>
      </c>
      <c r="B33" s="26">
        <v>46254</v>
      </c>
      <c r="C33" s="9" t="str">
        <f t="shared" si="6"/>
        <v>Jue</v>
      </c>
      <c r="D33" s="27">
        <v>3</v>
      </c>
      <c r="E33" s="27">
        <v>5</v>
      </c>
      <c r="F33" s="27">
        <v>1</v>
      </c>
      <c r="G33" s="27">
        <v>2</v>
      </c>
      <c r="H33" s="27">
        <v>2</v>
      </c>
      <c r="I33" s="27">
        <v>4</v>
      </c>
      <c r="J33" s="27">
        <v>1</v>
      </c>
      <c r="K33" s="28">
        <f t="shared" si="7"/>
        <v>18</v>
      </c>
    </row>
    <row r="34" spans="1:11" x14ac:dyDescent="0.25">
      <c r="A34" s="25">
        <v>21</v>
      </c>
      <c r="B34" s="26">
        <v>46255</v>
      </c>
      <c r="C34" s="9" t="str">
        <f t="shared" si="6"/>
        <v>Vie</v>
      </c>
      <c r="D34" s="27">
        <v>3</v>
      </c>
      <c r="E34" s="27">
        <v>2</v>
      </c>
      <c r="F34" s="27">
        <v>1</v>
      </c>
      <c r="G34" s="27">
        <v>7</v>
      </c>
      <c r="H34" s="27">
        <v>1</v>
      </c>
      <c r="I34" s="27">
        <v>2</v>
      </c>
      <c r="J34" s="27">
        <v>8</v>
      </c>
      <c r="K34" s="28">
        <f t="shared" si="7"/>
        <v>24</v>
      </c>
    </row>
    <row r="35" spans="1:11" x14ac:dyDescent="0.25">
      <c r="A35" s="25">
        <v>22</v>
      </c>
      <c r="B35" s="26">
        <v>46256</v>
      </c>
      <c r="C35" s="9" t="str">
        <f t="shared" si="6"/>
        <v>Sáb</v>
      </c>
      <c r="D35" s="27">
        <v>3</v>
      </c>
      <c r="E35" s="27">
        <v>8</v>
      </c>
      <c r="F35" s="27">
        <v>3</v>
      </c>
      <c r="G35" s="27">
        <v>7</v>
      </c>
      <c r="H35" s="27">
        <v>4</v>
      </c>
      <c r="I35" s="27">
        <v>7</v>
      </c>
      <c r="J35" s="27">
        <v>7</v>
      </c>
      <c r="K35" s="28">
        <f t="shared" si="7"/>
        <v>39</v>
      </c>
    </row>
    <row r="36" spans="1:11" x14ac:dyDescent="0.25">
      <c r="A36" s="25">
        <v>23</v>
      </c>
      <c r="B36" s="26">
        <v>46257</v>
      </c>
      <c r="C36" s="9" t="str">
        <f t="shared" si="6"/>
        <v>Dom</v>
      </c>
      <c r="D36" s="27">
        <v>7</v>
      </c>
      <c r="E36" s="27">
        <v>7</v>
      </c>
      <c r="F36" s="27">
        <v>5</v>
      </c>
      <c r="G36" s="27">
        <v>4</v>
      </c>
      <c r="H36" s="27">
        <v>8</v>
      </c>
      <c r="I36" s="27">
        <v>8</v>
      </c>
      <c r="J36" s="27">
        <v>4</v>
      </c>
      <c r="K36" s="28">
        <f t="shared" si="7"/>
        <v>43</v>
      </c>
    </row>
    <row r="37" spans="1:11" x14ac:dyDescent="0.25">
      <c r="A37" s="25">
        <v>24</v>
      </c>
      <c r="B37" s="26">
        <v>46258</v>
      </c>
      <c r="C37" s="9" t="str">
        <f t="shared" si="6"/>
        <v>Lun</v>
      </c>
      <c r="D37" s="27">
        <v>3</v>
      </c>
      <c r="E37" s="27">
        <v>4</v>
      </c>
      <c r="F37" s="27">
        <v>1</v>
      </c>
      <c r="G37" s="27">
        <v>4</v>
      </c>
      <c r="H37" s="27">
        <v>3</v>
      </c>
      <c r="I37" s="27">
        <v>3</v>
      </c>
      <c r="J37" s="27">
        <v>2</v>
      </c>
      <c r="K37" s="28">
        <f t="shared" si="7"/>
        <v>20</v>
      </c>
    </row>
    <row r="38" spans="1:11" x14ac:dyDescent="0.25">
      <c r="A38" s="25">
        <v>25</v>
      </c>
      <c r="B38" s="26">
        <v>46259</v>
      </c>
      <c r="C38" s="9" t="str">
        <f t="shared" si="6"/>
        <v>Mar</v>
      </c>
      <c r="D38" s="27">
        <v>7</v>
      </c>
      <c r="E38" s="27">
        <v>5</v>
      </c>
      <c r="F38" s="27">
        <v>1</v>
      </c>
      <c r="G38" s="27">
        <v>3</v>
      </c>
      <c r="H38" s="27">
        <v>2</v>
      </c>
      <c r="I38" s="27">
        <v>6</v>
      </c>
      <c r="J38" s="27">
        <v>4</v>
      </c>
      <c r="K38" s="28">
        <f t="shared" si="7"/>
        <v>28</v>
      </c>
    </row>
    <row r="39" spans="1:11" x14ac:dyDescent="0.25">
      <c r="A39" s="25">
        <v>26</v>
      </c>
      <c r="B39" s="26">
        <v>46260</v>
      </c>
      <c r="C39" s="9" t="str">
        <f t="shared" si="6"/>
        <v>Mié</v>
      </c>
      <c r="D39" s="27">
        <v>1</v>
      </c>
      <c r="E39" s="27">
        <v>8</v>
      </c>
      <c r="F39" s="27">
        <v>3</v>
      </c>
      <c r="G39" s="27">
        <v>5</v>
      </c>
      <c r="H39" s="27">
        <v>7</v>
      </c>
      <c r="I39" s="27">
        <v>6</v>
      </c>
      <c r="J39" s="27">
        <v>6</v>
      </c>
      <c r="K39" s="28">
        <f t="shared" si="7"/>
        <v>36</v>
      </c>
    </row>
    <row r="40" spans="1:11" x14ac:dyDescent="0.25">
      <c r="A40" s="25">
        <v>27</v>
      </c>
      <c r="B40" s="26">
        <v>46261</v>
      </c>
      <c r="C40" s="9" t="str">
        <f t="shared" si="6"/>
        <v>Jue</v>
      </c>
      <c r="D40" s="27">
        <v>6</v>
      </c>
      <c r="E40" s="27">
        <v>7</v>
      </c>
      <c r="F40" s="27">
        <v>6</v>
      </c>
      <c r="G40" s="27">
        <v>7</v>
      </c>
      <c r="H40" s="27">
        <v>8</v>
      </c>
      <c r="I40" s="27">
        <v>5</v>
      </c>
      <c r="J40" s="27">
        <v>2</v>
      </c>
      <c r="K40" s="28">
        <f t="shared" si="7"/>
        <v>41</v>
      </c>
    </row>
    <row r="41" spans="1:11" x14ac:dyDescent="0.25">
      <c r="A41" s="25">
        <v>28</v>
      </c>
      <c r="B41" s="26">
        <v>46262</v>
      </c>
      <c r="C41" s="9" t="str">
        <f t="shared" si="6"/>
        <v>Vie</v>
      </c>
      <c r="D41" s="27">
        <v>6</v>
      </c>
      <c r="E41" s="27">
        <v>4</v>
      </c>
      <c r="F41" s="27">
        <v>2</v>
      </c>
      <c r="G41" s="27">
        <v>2</v>
      </c>
      <c r="H41" s="27">
        <v>6</v>
      </c>
      <c r="I41" s="27">
        <v>5</v>
      </c>
      <c r="J41" s="27">
        <v>4</v>
      </c>
      <c r="K41" s="28">
        <f t="shared" si="7"/>
        <v>29</v>
      </c>
    </row>
    <row r="42" spans="1:11" x14ac:dyDescent="0.25">
      <c r="A42" s="25">
        <v>29</v>
      </c>
      <c r="B42" s="26">
        <v>46263</v>
      </c>
      <c r="C42" s="9" t="str">
        <f t="shared" si="6"/>
        <v>Sáb</v>
      </c>
      <c r="D42" s="27">
        <v>2</v>
      </c>
      <c r="E42" s="27">
        <v>4</v>
      </c>
      <c r="F42" s="27">
        <v>2</v>
      </c>
      <c r="G42" s="27">
        <v>3</v>
      </c>
      <c r="H42" s="27">
        <v>6</v>
      </c>
      <c r="I42" s="27">
        <v>2</v>
      </c>
      <c r="J42" s="27">
        <v>1</v>
      </c>
      <c r="K42" s="28">
        <f t="shared" si="7"/>
        <v>20</v>
      </c>
    </row>
    <row r="43" spans="1:11" x14ac:dyDescent="0.25">
      <c r="A43" s="25">
        <v>30</v>
      </c>
      <c r="B43" s="26">
        <v>46264</v>
      </c>
      <c r="C43" s="9" t="str">
        <f t="shared" si="6"/>
        <v>Dom</v>
      </c>
      <c r="D43" s="27">
        <v>3</v>
      </c>
      <c r="E43" s="27">
        <v>8</v>
      </c>
      <c r="F43" s="27">
        <v>7</v>
      </c>
      <c r="G43" s="27">
        <v>1</v>
      </c>
      <c r="H43" s="27">
        <v>6</v>
      </c>
      <c r="I43" s="27">
        <v>5</v>
      </c>
      <c r="J43" s="27">
        <v>3</v>
      </c>
      <c r="K43" s="28">
        <f t="shared" si="7"/>
        <v>33</v>
      </c>
    </row>
    <row r="44" spans="1:11" x14ac:dyDescent="0.25">
      <c r="A44" s="25">
        <v>31</v>
      </c>
      <c r="B44" s="26">
        <v>46265</v>
      </c>
      <c r="C44" s="9" t="str">
        <f t="shared" si="6"/>
        <v>Lun</v>
      </c>
      <c r="D44" s="27">
        <v>7</v>
      </c>
      <c r="E44" s="27">
        <v>6</v>
      </c>
      <c r="F44" s="27">
        <v>2</v>
      </c>
      <c r="G44" s="27">
        <v>8</v>
      </c>
      <c r="H44" s="27">
        <v>6</v>
      </c>
      <c r="I44" s="27">
        <v>1</v>
      </c>
      <c r="J44" s="27">
        <v>4</v>
      </c>
      <c r="K44" s="28">
        <f t="shared" si="7"/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1E3A"/>
  </sheetPr>
  <dimension ref="A1:K43"/>
  <sheetViews>
    <sheetView showGridLines="0" zoomScaleNormal="100" workbookViewId="0">
      <pane xSplit="3" ySplit="13" topLeftCell="D14" activePane="bottomRight" state="frozen"/>
      <selection pane="topRight" activeCell="D1" sqref="D1"/>
      <selection pane="bottomLeft" activeCell="A14" sqref="A14"/>
      <selection pane="bottomRight" activeCell="A2" sqref="A2"/>
    </sheetView>
  </sheetViews>
  <sheetFormatPr baseColWidth="10" defaultColWidth="8.7109375" defaultRowHeight="15" x14ac:dyDescent="0.25"/>
  <cols>
    <col min="1" max="1" width="24" customWidth="1"/>
    <col min="2" max="2" width="12" customWidth="1"/>
    <col min="3" max="3" width="9" customWidth="1"/>
    <col min="4" max="11" width="10" customWidth="1"/>
  </cols>
  <sheetData>
    <row r="1" spans="1:11" ht="18" x14ac:dyDescent="0.25">
      <c r="A1" s="1" t="s">
        <v>109</v>
      </c>
    </row>
    <row r="2" spans="1:11" x14ac:dyDescent="0.25">
      <c r="A2" s="2"/>
    </row>
    <row r="4" spans="1:11" ht="19.5" customHeight="1" x14ac:dyDescent="0.25">
      <c r="A4" s="7" t="s">
        <v>89</v>
      </c>
      <c r="B4" s="7"/>
      <c r="C4" s="7"/>
      <c r="D4" s="7" t="s">
        <v>90</v>
      </c>
      <c r="E4" s="7" t="s">
        <v>91</v>
      </c>
      <c r="F4" s="7" t="s">
        <v>92</v>
      </c>
      <c r="G4" s="7" t="s">
        <v>93</v>
      </c>
      <c r="H4" s="7" t="s">
        <v>94</v>
      </c>
      <c r="I4" s="7" t="s">
        <v>95</v>
      </c>
      <c r="J4" s="7" t="s">
        <v>96</v>
      </c>
      <c r="K4" s="7" t="s">
        <v>97</v>
      </c>
    </row>
    <row r="5" spans="1:11" x14ac:dyDescent="0.25">
      <c r="A5" s="3" t="s">
        <v>98</v>
      </c>
      <c r="B5" s="22"/>
      <c r="C5" s="22"/>
      <c r="D5" s="23">
        <f t="shared" ref="D5:K5" si="0">AVERAGE(D14:D43)</f>
        <v>2.2666666666666666</v>
      </c>
      <c r="E5" s="23">
        <f t="shared" si="0"/>
        <v>3</v>
      </c>
      <c r="F5" s="23">
        <f t="shared" si="0"/>
        <v>4.8666666666666663</v>
      </c>
      <c r="G5" s="23">
        <f t="shared" si="0"/>
        <v>8.4333333333333336</v>
      </c>
      <c r="H5" s="23">
        <f t="shared" si="0"/>
        <v>4.9666666666666668</v>
      </c>
      <c r="I5" s="23">
        <f t="shared" si="0"/>
        <v>2.0666666666666669</v>
      </c>
      <c r="J5" s="23">
        <f t="shared" si="0"/>
        <v>3.1333333333333333</v>
      </c>
      <c r="K5" s="23">
        <f t="shared" si="0"/>
        <v>28.733333333333334</v>
      </c>
    </row>
    <row r="6" spans="1:11" x14ac:dyDescent="0.25">
      <c r="A6" s="3" t="s">
        <v>99</v>
      </c>
      <c r="B6" s="22"/>
      <c r="C6" s="22"/>
      <c r="D6" s="23">
        <f t="shared" ref="D6:K6" si="1">MEDIAN(D14:D43)</f>
        <v>2</v>
      </c>
      <c r="E6" s="23">
        <f t="shared" si="1"/>
        <v>3</v>
      </c>
      <c r="F6" s="23">
        <f t="shared" si="1"/>
        <v>4</v>
      </c>
      <c r="G6" s="23">
        <f t="shared" si="1"/>
        <v>8</v>
      </c>
      <c r="H6" s="23">
        <f t="shared" si="1"/>
        <v>5</v>
      </c>
      <c r="I6" s="23">
        <f t="shared" si="1"/>
        <v>2</v>
      </c>
      <c r="J6" s="23">
        <f t="shared" si="1"/>
        <v>3</v>
      </c>
      <c r="K6" s="23">
        <f t="shared" si="1"/>
        <v>29</v>
      </c>
    </row>
    <row r="7" spans="1:11" x14ac:dyDescent="0.25">
      <c r="A7" s="3" t="s">
        <v>100</v>
      </c>
      <c r="B7" s="22"/>
      <c r="C7" s="22"/>
      <c r="D7" s="23">
        <f t="shared" ref="D7:K7" si="2">STDEV(D14:D43)</f>
        <v>1.2576204496597132</v>
      </c>
      <c r="E7" s="23">
        <f t="shared" si="2"/>
        <v>2</v>
      </c>
      <c r="F7" s="23">
        <f t="shared" si="2"/>
        <v>2.4315928273789837</v>
      </c>
      <c r="G7" s="23">
        <f t="shared" si="2"/>
        <v>3.3598371608050352</v>
      </c>
      <c r="H7" s="23">
        <f t="shared" si="2"/>
        <v>2.3116397126108432</v>
      </c>
      <c r="I7" s="23">
        <f t="shared" si="2"/>
        <v>1.2576204496597132</v>
      </c>
      <c r="J7" s="23">
        <f t="shared" si="2"/>
        <v>1.6760654528683687</v>
      </c>
      <c r="K7" s="23">
        <f t="shared" si="2"/>
        <v>6.6484809430857705</v>
      </c>
    </row>
    <row r="8" spans="1:11" x14ac:dyDescent="0.25">
      <c r="A8" s="3" t="s">
        <v>101</v>
      </c>
      <c r="B8" s="22"/>
      <c r="C8" s="22"/>
      <c r="D8" s="23">
        <f t="shared" ref="D8:K8" si="3">MIN(D14:D43)</f>
        <v>0</v>
      </c>
      <c r="E8" s="23">
        <f t="shared" si="3"/>
        <v>0</v>
      </c>
      <c r="F8" s="23">
        <f t="shared" si="3"/>
        <v>0</v>
      </c>
      <c r="G8" s="23">
        <f t="shared" si="3"/>
        <v>2</v>
      </c>
      <c r="H8" s="23">
        <f t="shared" si="3"/>
        <v>1</v>
      </c>
      <c r="I8" s="23">
        <f t="shared" si="3"/>
        <v>0</v>
      </c>
      <c r="J8" s="23">
        <f t="shared" si="3"/>
        <v>1</v>
      </c>
      <c r="K8" s="23">
        <f t="shared" si="3"/>
        <v>16</v>
      </c>
    </row>
    <row r="9" spans="1:11" x14ac:dyDescent="0.25">
      <c r="A9" s="3" t="s">
        <v>102</v>
      </c>
      <c r="B9" s="22"/>
      <c r="C9" s="22"/>
      <c r="D9" s="23">
        <f t="shared" ref="D9:K9" si="4">MAX(D14:D43)</f>
        <v>5</v>
      </c>
      <c r="E9" s="23">
        <f t="shared" si="4"/>
        <v>8</v>
      </c>
      <c r="F9" s="23">
        <f t="shared" si="4"/>
        <v>10</v>
      </c>
      <c r="G9" s="23">
        <f t="shared" si="4"/>
        <v>15</v>
      </c>
      <c r="H9" s="23">
        <f t="shared" si="4"/>
        <v>11</v>
      </c>
      <c r="I9" s="23">
        <f t="shared" si="4"/>
        <v>5</v>
      </c>
      <c r="J9" s="23">
        <f t="shared" si="4"/>
        <v>7</v>
      </c>
      <c r="K9" s="23">
        <f t="shared" si="4"/>
        <v>41</v>
      </c>
    </row>
    <row r="10" spans="1:11" x14ac:dyDescent="0.25">
      <c r="A10" s="3" t="s">
        <v>103</v>
      </c>
      <c r="B10" s="22"/>
      <c r="C10" s="22"/>
      <c r="D10" s="24">
        <f t="shared" ref="D10:K10" si="5">IF(D5=0,0,D7/D5)</f>
        <v>0.55483255132046172</v>
      </c>
      <c r="E10" s="24">
        <f t="shared" si="5"/>
        <v>0.66666666666666663</v>
      </c>
      <c r="F10" s="24">
        <f t="shared" si="5"/>
        <v>0.49964236179020216</v>
      </c>
      <c r="G10" s="24">
        <f t="shared" si="5"/>
        <v>0.39839966333656546</v>
      </c>
      <c r="H10" s="24">
        <f t="shared" si="5"/>
        <v>0.46543081461963287</v>
      </c>
      <c r="I10" s="24">
        <f t="shared" si="5"/>
        <v>0.60852602402889344</v>
      </c>
      <c r="J10" s="24">
        <f t="shared" si="5"/>
        <v>0.53491450623458581</v>
      </c>
      <c r="K10" s="24">
        <f t="shared" si="5"/>
        <v>0.23138564767119851</v>
      </c>
    </row>
    <row r="12" spans="1:11" x14ac:dyDescent="0.25">
      <c r="A12" s="5" t="s">
        <v>104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x14ac:dyDescent="0.25">
      <c r="A13" s="7" t="s">
        <v>105</v>
      </c>
      <c r="B13" s="7" t="s">
        <v>106</v>
      </c>
      <c r="C13" s="7" t="s">
        <v>107</v>
      </c>
      <c r="D13" s="7" t="s">
        <v>90</v>
      </c>
      <c r="E13" s="7" t="s">
        <v>91</v>
      </c>
      <c r="F13" s="7" t="s">
        <v>92</v>
      </c>
      <c r="G13" s="7" t="s">
        <v>93</v>
      </c>
      <c r="H13" s="7" t="s">
        <v>94</v>
      </c>
      <c r="I13" s="7" t="s">
        <v>95</v>
      </c>
      <c r="J13" s="7" t="s">
        <v>96</v>
      </c>
      <c r="K13" s="7" t="s">
        <v>97</v>
      </c>
    </row>
    <row r="14" spans="1:11" x14ac:dyDescent="0.25">
      <c r="A14" s="25">
        <v>1</v>
      </c>
      <c r="B14" s="26">
        <v>46266</v>
      </c>
      <c r="C14" s="9" t="str">
        <f t="shared" ref="C14:C43" si="6">CHOOSE(WEEKDAY(B14,2),"Lun","Mar","Mié","Jue","Vie","Sáb","Dom")</f>
        <v>Mar</v>
      </c>
      <c r="D14" s="27">
        <v>4</v>
      </c>
      <c r="E14" s="27">
        <v>5</v>
      </c>
      <c r="F14" s="27">
        <v>3</v>
      </c>
      <c r="G14" s="27">
        <v>10</v>
      </c>
      <c r="H14" s="27">
        <v>2</v>
      </c>
      <c r="I14" s="27">
        <v>0</v>
      </c>
      <c r="J14" s="27">
        <v>7</v>
      </c>
      <c r="K14" s="28">
        <f t="shared" ref="K14:K43" si="7">SUM(D14:J14)</f>
        <v>31</v>
      </c>
    </row>
    <row r="15" spans="1:11" x14ac:dyDescent="0.25">
      <c r="A15" s="25">
        <v>2</v>
      </c>
      <c r="B15" s="26">
        <v>46267</v>
      </c>
      <c r="C15" s="9" t="str">
        <f t="shared" si="6"/>
        <v>Mié</v>
      </c>
      <c r="D15" s="27">
        <v>2</v>
      </c>
      <c r="E15" s="27">
        <v>1</v>
      </c>
      <c r="F15" s="27">
        <v>9</v>
      </c>
      <c r="G15" s="27">
        <v>6</v>
      </c>
      <c r="H15" s="27">
        <v>5</v>
      </c>
      <c r="I15" s="27">
        <v>2</v>
      </c>
      <c r="J15" s="27">
        <v>1</v>
      </c>
      <c r="K15" s="28">
        <f t="shared" si="7"/>
        <v>26</v>
      </c>
    </row>
    <row r="16" spans="1:11" x14ac:dyDescent="0.25">
      <c r="A16" s="25">
        <v>3</v>
      </c>
      <c r="B16" s="26">
        <v>46268</v>
      </c>
      <c r="C16" s="9" t="str">
        <f t="shared" si="6"/>
        <v>Jue</v>
      </c>
      <c r="D16" s="27">
        <v>1</v>
      </c>
      <c r="E16" s="27">
        <v>3</v>
      </c>
      <c r="F16" s="27">
        <v>3</v>
      </c>
      <c r="G16" s="27">
        <v>9</v>
      </c>
      <c r="H16" s="27">
        <v>4</v>
      </c>
      <c r="I16" s="27">
        <v>2</v>
      </c>
      <c r="J16" s="27">
        <v>1</v>
      </c>
      <c r="K16" s="28">
        <f t="shared" si="7"/>
        <v>23</v>
      </c>
    </row>
    <row r="17" spans="1:11" x14ac:dyDescent="0.25">
      <c r="A17" s="25">
        <v>4</v>
      </c>
      <c r="B17" s="26">
        <v>46269</v>
      </c>
      <c r="C17" s="9" t="str">
        <f t="shared" si="6"/>
        <v>Vie</v>
      </c>
      <c r="D17" s="27">
        <v>1</v>
      </c>
      <c r="E17" s="27">
        <v>2</v>
      </c>
      <c r="F17" s="27">
        <v>4</v>
      </c>
      <c r="G17" s="27">
        <v>11</v>
      </c>
      <c r="H17" s="27">
        <v>5</v>
      </c>
      <c r="I17" s="27">
        <v>3</v>
      </c>
      <c r="J17" s="27">
        <v>4</v>
      </c>
      <c r="K17" s="28">
        <f t="shared" si="7"/>
        <v>30</v>
      </c>
    </row>
    <row r="18" spans="1:11" x14ac:dyDescent="0.25">
      <c r="A18" s="25">
        <v>5</v>
      </c>
      <c r="B18" s="26">
        <v>46270</v>
      </c>
      <c r="C18" s="9" t="str">
        <f t="shared" si="6"/>
        <v>Sáb</v>
      </c>
      <c r="D18" s="27">
        <v>2</v>
      </c>
      <c r="E18" s="27">
        <v>0</v>
      </c>
      <c r="F18" s="27">
        <v>8</v>
      </c>
      <c r="G18" s="27">
        <v>9</v>
      </c>
      <c r="H18" s="27">
        <v>7</v>
      </c>
      <c r="I18" s="27">
        <v>1</v>
      </c>
      <c r="J18" s="27">
        <v>2</v>
      </c>
      <c r="K18" s="28">
        <f t="shared" si="7"/>
        <v>29</v>
      </c>
    </row>
    <row r="19" spans="1:11" x14ac:dyDescent="0.25">
      <c r="A19" s="25">
        <v>6</v>
      </c>
      <c r="B19" s="26">
        <v>46271</v>
      </c>
      <c r="C19" s="9" t="str">
        <f t="shared" si="6"/>
        <v>Dom</v>
      </c>
      <c r="D19" s="27">
        <v>2</v>
      </c>
      <c r="E19" s="27">
        <v>4</v>
      </c>
      <c r="F19" s="27">
        <v>9</v>
      </c>
      <c r="G19" s="27">
        <v>13</v>
      </c>
      <c r="H19" s="27">
        <v>8</v>
      </c>
      <c r="I19" s="27">
        <v>2</v>
      </c>
      <c r="J19" s="27">
        <v>3</v>
      </c>
      <c r="K19" s="28">
        <f t="shared" si="7"/>
        <v>41</v>
      </c>
    </row>
    <row r="20" spans="1:11" x14ac:dyDescent="0.25">
      <c r="A20" s="25">
        <v>7</v>
      </c>
      <c r="B20" s="26">
        <v>46272</v>
      </c>
      <c r="C20" s="9" t="str">
        <f t="shared" si="6"/>
        <v>Lun</v>
      </c>
      <c r="D20" s="27">
        <v>1</v>
      </c>
      <c r="E20" s="27">
        <v>3</v>
      </c>
      <c r="F20" s="27">
        <v>6</v>
      </c>
      <c r="G20" s="27">
        <v>2</v>
      </c>
      <c r="H20" s="27">
        <v>3</v>
      </c>
      <c r="I20" s="27">
        <v>2</v>
      </c>
      <c r="J20" s="27">
        <v>3</v>
      </c>
      <c r="K20" s="28">
        <f t="shared" si="7"/>
        <v>20</v>
      </c>
    </row>
    <row r="21" spans="1:11" x14ac:dyDescent="0.25">
      <c r="A21" s="25">
        <v>8</v>
      </c>
      <c r="B21" s="26">
        <v>46273</v>
      </c>
      <c r="C21" s="9" t="str">
        <f t="shared" si="6"/>
        <v>Mar</v>
      </c>
      <c r="D21" s="27">
        <v>2</v>
      </c>
      <c r="E21" s="27">
        <v>4</v>
      </c>
      <c r="F21" s="27">
        <v>3</v>
      </c>
      <c r="G21" s="27">
        <v>7</v>
      </c>
      <c r="H21" s="27">
        <v>5</v>
      </c>
      <c r="I21" s="27">
        <v>2</v>
      </c>
      <c r="J21" s="27">
        <v>5</v>
      </c>
      <c r="K21" s="28">
        <f t="shared" si="7"/>
        <v>28</v>
      </c>
    </row>
    <row r="22" spans="1:11" x14ac:dyDescent="0.25">
      <c r="A22" s="25">
        <v>9</v>
      </c>
      <c r="B22" s="26">
        <v>46274</v>
      </c>
      <c r="C22" s="9" t="str">
        <f t="shared" si="6"/>
        <v>Mié</v>
      </c>
      <c r="D22" s="27">
        <v>2</v>
      </c>
      <c r="E22" s="27">
        <v>1</v>
      </c>
      <c r="F22" s="27">
        <v>0</v>
      </c>
      <c r="G22" s="27">
        <v>10</v>
      </c>
      <c r="H22" s="27">
        <v>5</v>
      </c>
      <c r="I22" s="27">
        <v>3</v>
      </c>
      <c r="J22" s="27">
        <v>3</v>
      </c>
      <c r="K22" s="28">
        <f t="shared" si="7"/>
        <v>24</v>
      </c>
    </row>
    <row r="23" spans="1:11" x14ac:dyDescent="0.25">
      <c r="A23" s="25">
        <v>10</v>
      </c>
      <c r="B23" s="26">
        <v>46275</v>
      </c>
      <c r="C23" s="9" t="str">
        <f t="shared" si="6"/>
        <v>Jue</v>
      </c>
      <c r="D23" s="27">
        <v>3</v>
      </c>
      <c r="E23" s="27">
        <v>7</v>
      </c>
      <c r="F23" s="27">
        <v>8</v>
      </c>
      <c r="G23" s="27">
        <v>8</v>
      </c>
      <c r="H23" s="27">
        <v>3</v>
      </c>
      <c r="I23" s="27">
        <v>4</v>
      </c>
      <c r="J23" s="27">
        <v>5</v>
      </c>
      <c r="K23" s="28">
        <f t="shared" si="7"/>
        <v>38</v>
      </c>
    </row>
    <row r="24" spans="1:11" x14ac:dyDescent="0.25">
      <c r="A24" s="25">
        <v>11</v>
      </c>
      <c r="B24" s="26">
        <v>46276</v>
      </c>
      <c r="C24" s="9" t="str">
        <f t="shared" si="6"/>
        <v>Vie</v>
      </c>
      <c r="D24" s="27">
        <v>1</v>
      </c>
      <c r="E24" s="27">
        <v>0</v>
      </c>
      <c r="F24" s="27">
        <v>4</v>
      </c>
      <c r="G24" s="27">
        <v>7</v>
      </c>
      <c r="H24" s="27">
        <v>3</v>
      </c>
      <c r="I24" s="27">
        <v>2</v>
      </c>
      <c r="J24" s="27">
        <v>4</v>
      </c>
      <c r="K24" s="28">
        <f t="shared" si="7"/>
        <v>21</v>
      </c>
    </row>
    <row r="25" spans="1:11" x14ac:dyDescent="0.25">
      <c r="A25" s="25">
        <v>12</v>
      </c>
      <c r="B25" s="26">
        <v>46277</v>
      </c>
      <c r="C25" s="9" t="str">
        <f t="shared" si="6"/>
        <v>Sáb</v>
      </c>
      <c r="D25" s="27">
        <v>4</v>
      </c>
      <c r="E25" s="27">
        <v>2</v>
      </c>
      <c r="F25" s="27">
        <v>6</v>
      </c>
      <c r="G25" s="27">
        <v>13</v>
      </c>
      <c r="H25" s="27">
        <v>7</v>
      </c>
      <c r="I25" s="27">
        <v>3</v>
      </c>
      <c r="J25" s="27">
        <v>1</v>
      </c>
      <c r="K25" s="28">
        <f t="shared" si="7"/>
        <v>36</v>
      </c>
    </row>
    <row r="26" spans="1:11" x14ac:dyDescent="0.25">
      <c r="A26" s="25">
        <v>13</v>
      </c>
      <c r="B26" s="26">
        <v>46278</v>
      </c>
      <c r="C26" s="9" t="str">
        <f t="shared" si="6"/>
        <v>Dom</v>
      </c>
      <c r="D26" s="27">
        <v>3</v>
      </c>
      <c r="E26" s="27">
        <v>3</v>
      </c>
      <c r="F26" s="27">
        <v>7</v>
      </c>
      <c r="G26" s="27">
        <v>13</v>
      </c>
      <c r="H26" s="27">
        <v>7</v>
      </c>
      <c r="I26" s="27">
        <v>4</v>
      </c>
      <c r="J26" s="27">
        <v>1</v>
      </c>
      <c r="K26" s="28">
        <f t="shared" si="7"/>
        <v>38</v>
      </c>
    </row>
    <row r="27" spans="1:11" x14ac:dyDescent="0.25">
      <c r="A27" s="25">
        <v>14</v>
      </c>
      <c r="B27" s="26">
        <v>46279</v>
      </c>
      <c r="C27" s="9" t="str">
        <f t="shared" si="6"/>
        <v>Lun</v>
      </c>
      <c r="D27" s="27">
        <v>2</v>
      </c>
      <c r="E27" s="27">
        <v>3</v>
      </c>
      <c r="F27" s="27">
        <v>3</v>
      </c>
      <c r="G27" s="27">
        <v>6</v>
      </c>
      <c r="H27" s="27">
        <v>4</v>
      </c>
      <c r="I27" s="27">
        <v>1</v>
      </c>
      <c r="J27" s="27">
        <v>4</v>
      </c>
      <c r="K27" s="28">
        <f t="shared" si="7"/>
        <v>23</v>
      </c>
    </row>
    <row r="28" spans="1:11" x14ac:dyDescent="0.25">
      <c r="A28" s="25">
        <v>15</v>
      </c>
      <c r="B28" s="26">
        <v>46280</v>
      </c>
      <c r="C28" s="9" t="str">
        <f t="shared" si="6"/>
        <v>Mar</v>
      </c>
      <c r="D28" s="27">
        <v>4</v>
      </c>
      <c r="E28" s="27">
        <v>2</v>
      </c>
      <c r="F28" s="27">
        <v>3</v>
      </c>
      <c r="G28" s="27">
        <v>4</v>
      </c>
      <c r="H28" s="27">
        <v>1</v>
      </c>
      <c r="I28" s="27">
        <v>0</v>
      </c>
      <c r="J28" s="27">
        <v>2</v>
      </c>
      <c r="K28" s="28">
        <f t="shared" si="7"/>
        <v>16</v>
      </c>
    </row>
    <row r="29" spans="1:11" x14ac:dyDescent="0.25">
      <c r="A29" s="25">
        <v>16</v>
      </c>
      <c r="B29" s="26">
        <v>46281</v>
      </c>
      <c r="C29" s="9" t="str">
        <f t="shared" si="6"/>
        <v>Mié</v>
      </c>
      <c r="D29" s="27">
        <v>3</v>
      </c>
      <c r="E29" s="27">
        <v>4</v>
      </c>
      <c r="F29" s="27">
        <v>5</v>
      </c>
      <c r="G29" s="27">
        <v>6</v>
      </c>
      <c r="H29" s="27">
        <v>3</v>
      </c>
      <c r="I29" s="27">
        <v>2</v>
      </c>
      <c r="J29" s="27">
        <v>3</v>
      </c>
      <c r="K29" s="28">
        <f t="shared" si="7"/>
        <v>26</v>
      </c>
    </row>
    <row r="30" spans="1:11" x14ac:dyDescent="0.25">
      <c r="A30" s="25">
        <v>17</v>
      </c>
      <c r="B30" s="26">
        <v>46282</v>
      </c>
      <c r="C30" s="9" t="str">
        <f t="shared" si="6"/>
        <v>Jue</v>
      </c>
      <c r="D30" s="27">
        <v>4</v>
      </c>
      <c r="E30" s="27">
        <v>4</v>
      </c>
      <c r="F30" s="27">
        <v>3</v>
      </c>
      <c r="G30" s="27">
        <v>15</v>
      </c>
      <c r="H30" s="27">
        <v>2</v>
      </c>
      <c r="I30" s="27">
        <v>3</v>
      </c>
      <c r="J30" s="27">
        <v>4</v>
      </c>
      <c r="K30" s="28">
        <f t="shared" si="7"/>
        <v>35</v>
      </c>
    </row>
    <row r="31" spans="1:11" x14ac:dyDescent="0.25">
      <c r="A31" s="25">
        <v>18</v>
      </c>
      <c r="B31" s="26">
        <v>46283</v>
      </c>
      <c r="C31" s="9" t="str">
        <f t="shared" si="6"/>
        <v>Vie</v>
      </c>
      <c r="D31" s="27">
        <v>2</v>
      </c>
      <c r="E31" s="27">
        <v>4</v>
      </c>
      <c r="F31" s="27">
        <v>4</v>
      </c>
      <c r="G31" s="27">
        <v>10</v>
      </c>
      <c r="H31" s="27">
        <v>8</v>
      </c>
      <c r="I31" s="27">
        <v>0</v>
      </c>
      <c r="J31" s="27">
        <v>1</v>
      </c>
      <c r="K31" s="28">
        <f t="shared" si="7"/>
        <v>29</v>
      </c>
    </row>
    <row r="32" spans="1:11" x14ac:dyDescent="0.25">
      <c r="A32" s="25">
        <v>19</v>
      </c>
      <c r="B32" s="26">
        <v>46284</v>
      </c>
      <c r="C32" s="9" t="str">
        <f t="shared" si="6"/>
        <v>Sáb</v>
      </c>
      <c r="D32" s="27">
        <v>0</v>
      </c>
      <c r="E32" s="27">
        <v>4</v>
      </c>
      <c r="F32" s="27">
        <v>10</v>
      </c>
      <c r="G32" s="27">
        <v>10</v>
      </c>
      <c r="H32" s="27">
        <v>7</v>
      </c>
      <c r="I32" s="27">
        <v>1</v>
      </c>
      <c r="J32" s="27">
        <v>4</v>
      </c>
      <c r="K32" s="28">
        <f t="shared" si="7"/>
        <v>36</v>
      </c>
    </row>
    <row r="33" spans="1:11" x14ac:dyDescent="0.25">
      <c r="A33" s="25">
        <v>20</v>
      </c>
      <c r="B33" s="26">
        <v>46285</v>
      </c>
      <c r="C33" s="9" t="str">
        <f t="shared" si="6"/>
        <v>Dom</v>
      </c>
      <c r="D33" s="27">
        <v>1</v>
      </c>
      <c r="E33" s="27">
        <v>3</v>
      </c>
      <c r="F33" s="27">
        <v>3</v>
      </c>
      <c r="G33" s="27">
        <v>8</v>
      </c>
      <c r="H33" s="27">
        <v>11</v>
      </c>
      <c r="I33" s="27">
        <v>2</v>
      </c>
      <c r="J33" s="27">
        <v>7</v>
      </c>
      <c r="K33" s="28">
        <f t="shared" si="7"/>
        <v>35</v>
      </c>
    </row>
    <row r="34" spans="1:11" x14ac:dyDescent="0.25">
      <c r="A34" s="25">
        <v>21</v>
      </c>
      <c r="B34" s="26">
        <v>46286</v>
      </c>
      <c r="C34" s="9" t="str">
        <f t="shared" si="6"/>
        <v>Lun</v>
      </c>
      <c r="D34" s="27">
        <v>5</v>
      </c>
      <c r="E34" s="27">
        <v>8</v>
      </c>
      <c r="F34" s="27">
        <v>2</v>
      </c>
      <c r="G34" s="27">
        <v>7</v>
      </c>
      <c r="H34" s="27">
        <v>4</v>
      </c>
      <c r="I34" s="27">
        <v>2</v>
      </c>
      <c r="J34" s="27">
        <v>4</v>
      </c>
      <c r="K34" s="28">
        <f t="shared" si="7"/>
        <v>32</v>
      </c>
    </row>
    <row r="35" spans="1:11" x14ac:dyDescent="0.25">
      <c r="A35" s="25">
        <v>22</v>
      </c>
      <c r="B35" s="26">
        <v>46287</v>
      </c>
      <c r="C35" s="9" t="str">
        <f t="shared" si="6"/>
        <v>Mar</v>
      </c>
      <c r="D35" s="27">
        <v>1</v>
      </c>
      <c r="E35" s="27">
        <v>7</v>
      </c>
      <c r="F35" s="27">
        <v>9</v>
      </c>
      <c r="G35" s="27">
        <v>3</v>
      </c>
      <c r="H35" s="27">
        <v>2</v>
      </c>
      <c r="I35" s="27">
        <v>3</v>
      </c>
      <c r="J35" s="27">
        <v>3</v>
      </c>
      <c r="K35" s="28">
        <f t="shared" si="7"/>
        <v>28</v>
      </c>
    </row>
    <row r="36" spans="1:11" x14ac:dyDescent="0.25">
      <c r="A36" s="25">
        <v>23</v>
      </c>
      <c r="B36" s="26">
        <v>46288</v>
      </c>
      <c r="C36" s="9" t="str">
        <f t="shared" si="6"/>
        <v>Mié</v>
      </c>
      <c r="D36" s="27">
        <v>3</v>
      </c>
      <c r="E36" s="27">
        <v>1</v>
      </c>
      <c r="F36" s="27">
        <v>6</v>
      </c>
      <c r="G36" s="27">
        <v>6</v>
      </c>
      <c r="H36" s="27">
        <v>6</v>
      </c>
      <c r="I36" s="27">
        <v>3</v>
      </c>
      <c r="J36" s="27">
        <v>3</v>
      </c>
      <c r="K36" s="28">
        <f t="shared" si="7"/>
        <v>28</v>
      </c>
    </row>
    <row r="37" spans="1:11" x14ac:dyDescent="0.25">
      <c r="A37" s="25">
        <v>24</v>
      </c>
      <c r="B37" s="26">
        <v>46289</v>
      </c>
      <c r="C37" s="9" t="str">
        <f t="shared" si="6"/>
        <v>Jue</v>
      </c>
      <c r="D37" s="27">
        <v>2</v>
      </c>
      <c r="E37" s="27">
        <v>1</v>
      </c>
      <c r="F37" s="27">
        <v>4</v>
      </c>
      <c r="G37" s="27">
        <v>7</v>
      </c>
      <c r="H37" s="27">
        <v>3</v>
      </c>
      <c r="I37" s="27">
        <v>1</v>
      </c>
      <c r="J37" s="27">
        <v>1</v>
      </c>
      <c r="K37" s="28">
        <f t="shared" si="7"/>
        <v>19</v>
      </c>
    </row>
    <row r="38" spans="1:11" x14ac:dyDescent="0.25">
      <c r="A38" s="25">
        <v>25</v>
      </c>
      <c r="B38" s="26">
        <v>46290</v>
      </c>
      <c r="C38" s="9" t="str">
        <f t="shared" si="6"/>
        <v>Vie</v>
      </c>
      <c r="D38" s="27">
        <v>2</v>
      </c>
      <c r="E38" s="27">
        <v>4</v>
      </c>
      <c r="F38" s="27">
        <v>4</v>
      </c>
      <c r="G38" s="27">
        <v>15</v>
      </c>
      <c r="H38" s="27">
        <v>5</v>
      </c>
      <c r="I38" s="27">
        <v>2</v>
      </c>
      <c r="J38" s="27">
        <v>5</v>
      </c>
      <c r="K38" s="28">
        <f t="shared" si="7"/>
        <v>37</v>
      </c>
    </row>
    <row r="39" spans="1:11" x14ac:dyDescent="0.25">
      <c r="A39" s="25">
        <v>26</v>
      </c>
      <c r="B39" s="26">
        <v>46291</v>
      </c>
      <c r="C39" s="9" t="str">
        <f t="shared" si="6"/>
        <v>Sáb</v>
      </c>
      <c r="D39" s="27">
        <v>0</v>
      </c>
      <c r="E39" s="27">
        <v>2</v>
      </c>
      <c r="F39" s="27">
        <v>4</v>
      </c>
      <c r="G39" s="27">
        <v>12</v>
      </c>
      <c r="H39" s="27">
        <v>7</v>
      </c>
      <c r="I39" s="27">
        <v>3</v>
      </c>
      <c r="J39" s="27">
        <v>3</v>
      </c>
      <c r="K39" s="28">
        <f t="shared" si="7"/>
        <v>31</v>
      </c>
    </row>
    <row r="40" spans="1:11" x14ac:dyDescent="0.25">
      <c r="A40" s="25">
        <v>27</v>
      </c>
      <c r="B40" s="26">
        <v>46292</v>
      </c>
      <c r="C40" s="9" t="str">
        <f t="shared" si="6"/>
        <v>Dom</v>
      </c>
      <c r="D40" s="27">
        <v>2</v>
      </c>
      <c r="E40" s="27">
        <v>2</v>
      </c>
      <c r="F40" s="27">
        <v>5</v>
      </c>
      <c r="G40" s="27">
        <v>8</v>
      </c>
      <c r="H40" s="27">
        <v>8</v>
      </c>
      <c r="I40" s="27">
        <v>3</v>
      </c>
      <c r="J40" s="27">
        <v>4</v>
      </c>
      <c r="K40" s="28">
        <f t="shared" si="7"/>
        <v>32</v>
      </c>
    </row>
    <row r="41" spans="1:11" x14ac:dyDescent="0.25">
      <c r="A41" s="25">
        <v>28</v>
      </c>
      <c r="B41" s="26">
        <v>46293</v>
      </c>
      <c r="C41" s="9" t="str">
        <f t="shared" si="6"/>
        <v>Lun</v>
      </c>
      <c r="D41" s="27">
        <v>2</v>
      </c>
      <c r="E41" s="27">
        <v>0</v>
      </c>
      <c r="F41" s="27">
        <v>3</v>
      </c>
      <c r="G41" s="27">
        <v>6</v>
      </c>
      <c r="H41" s="27">
        <v>5</v>
      </c>
      <c r="I41" s="27">
        <v>0</v>
      </c>
      <c r="J41" s="27">
        <v>3</v>
      </c>
      <c r="K41" s="28">
        <f t="shared" si="7"/>
        <v>19</v>
      </c>
    </row>
    <row r="42" spans="1:11" x14ac:dyDescent="0.25">
      <c r="A42" s="25">
        <v>29</v>
      </c>
      <c r="B42" s="26">
        <v>46294</v>
      </c>
      <c r="C42" s="9" t="str">
        <f t="shared" si="6"/>
        <v>Mar</v>
      </c>
      <c r="D42" s="27">
        <v>4</v>
      </c>
      <c r="E42" s="27">
        <v>3</v>
      </c>
      <c r="F42" s="27">
        <v>4</v>
      </c>
      <c r="G42" s="27">
        <v>4</v>
      </c>
      <c r="H42" s="27">
        <v>3</v>
      </c>
      <c r="I42" s="27">
        <v>1</v>
      </c>
      <c r="J42" s="27">
        <v>1</v>
      </c>
      <c r="K42" s="28">
        <f t="shared" si="7"/>
        <v>20</v>
      </c>
    </row>
    <row r="43" spans="1:11" x14ac:dyDescent="0.25">
      <c r="A43" s="25">
        <v>30</v>
      </c>
      <c r="B43" s="26">
        <v>46295</v>
      </c>
      <c r="C43" s="9" t="str">
        <f t="shared" si="6"/>
        <v>Mié</v>
      </c>
      <c r="D43" s="27">
        <v>3</v>
      </c>
      <c r="E43" s="27">
        <v>3</v>
      </c>
      <c r="F43" s="27">
        <v>4</v>
      </c>
      <c r="G43" s="27">
        <v>8</v>
      </c>
      <c r="H43" s="27">
        <v>6</v>
      </c>
      <c r="I43" s="27">
        <v>5</v>
      </c>
      <c r="J43" s="27">
        <v>2</v>
      </c>
      <c r="K43" s="28">
        <f t="shared" si="7"/>
        <v>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504D"/>
  </sheetPr>
  <dimension ref="A1:H71"/>
  <sheetViews>
    <sheetView showGridLines="0" tabSelected="1" topLeftCell="A13" zoomScaleNormal="100" workbookViewId="0"/>
  </sheetViews>
  <sheetFormatPr baseColWidth="10" defaultColWidth="8.7109375" defaultRowHeight="15" x14ac:dyDescent="0.25"/>
  <cols>
    <col min="1" max="1" width="26" customWidth="1"/>
    <col min="2" max="4" width="12" customWidth="1"/>
    <col min="5" max="5" width="44" customWidth="1"/>
  </cols>
  <sheetData>
    <row r="1" spans="1:8" ht="18" x14ac:dyDescent="0.25">
      <c r="A1" s="1" t="s">
        <v>110</v>
      </c>
    </row>
    <row r="2" spans="1:8" x14ac:dyDescent="0.25">
      <c r="A2" s="2" t="s">
        <v>111</v>
      </c>
    </row>
    <row r="4" spans="1:8" ht="27.75" customHeight="1" x14ac:dyDescent="0.25">
      <c r="A4" s="3" t="s">
        <v>112</v>
      </c>
      <c r="B4" s="27">
        <v>30</v>
      </c>
      <c r="D4" s="65" t="s">
        <v>113</v>
      </c>
      <c r="E4" s="65"/>
      <c r="F4" s="65"/>
      <c r="G4" s="65"/>
      <c r="H4" s="65"/>
    </row>
    <row r="5" spans="1:8" x14ac:dyDescent="0.25">
      <c r="A5" s="3" t="s">
        <v>83</v>
      </c>
      <c r="B5" s="29" t="s">
        <v>93</v>
      </c>
    </row>
    <row r="6" spans="1:8" x14ac:dyDescent="0.25">
      <c r="A6" s="3" t="s">
        <v>114</v>
      </c>
      <c r="B6" s="28">
        <f>MATCH(B5,A10:A16,0)</f>
        <v>4</v>
      </c>
    </row>
    <row r="8" spans="1:8" x14ac:dyDescent="0.25">
      <c r="A8" s="5" t="s">
        <v>115</v>
      </c>
      <c r="B8" s="6"/>
      <c r="C8" s="6"/>
      <c r="D8" s="6"/>
      <c r="E8" s="6"/>
    </row>
    <row r="9" spans="1:8" ht="19.5" customHeight="1" x14ac:dyDescent="0.25">
      <c r="A9" s="7" t="s">
        <v>116</v>
      </c>
      <c r="B9" s="7" t="s">
        <v>117</v>
      </c>
      <c r="C9" s="7" t="s">
        <v>118</v>
      </c>
      <c r="D9" s="7" t="s">
        <v>119</v>
      </c>
      <c r="E9" s="7" t="s">
        <v>120</v>
      </c>
    </row>
    <row r="10" spans="1:8" x14ac:dyDescent="0.25">
      <c r="A10" s="8" t="s">
        <v>90</v>
      </c>
      <c r="B10" s="30">
        <v>10.5</v>
      </c>
      <c r="C10" s="30">
        <v>11</v>
      </c>
      <c r="D10" s="30">
        <v>10.5</v>
      </c>
      <c r="E10" s="10" t="s">
        <v>121</v>
      </c>
    </row>
    <row r="11" spans="1:8" x14ac:dyDescent="0.25">
      <c r="A11" s="8" t="s">
        <v>91</v>
      </c>
      <c r="B11" s="30">
        <v>6</v>
      </c>
      <c r="C11" s="30">
        <v>6.5</v>
      </c>
      <c r="D11" s="30">
        <v>6.2</v>
      </c>
      <c r="E11" s="10" t="s">
        <v>122</v>
      </c>
    </row>
    <row r="12" spans="1:8" x14ac:dyDescent="0.25">
      <c r="A12" s="8" t="s">
        <v>92</v>
      </c>
      <c r="B12" s="30">
        <v>3</v>
      </c>
      <c r="C12" s="30">
        <v>3.5</v>
      </c>
      <c r="D12" s="30">
        <v>2.8</v>
      </c>
      <c r="E12" s="10" t="s">
        <v>123</v>
      </c>
    </row>
    <row r="13" spans="1:8" x14ac:dyDescent="0.25">
      <c r="A13" s="8" t="s">
        <v>93</v>
      </c>
      <c r="B13" s="30">
        <v>7</v>
      </c>
      <c r="C13" s="30">
        <v>9</v>
      </c>
      <c r="D13" s="30">
        <v>7.5</v>
      </c>
      <c r="E13" s="10" t="s">
        <v>124</v>
      </c>
    </row>
    <row r="14" spans="1:8" x14ac:dyDescent="0.25">
      <c r="A14" s="8" t="s">
        <v>94</v>
      </c>
      <c r="B14" s="30">
        <v>2.5</v>
      </c>
      <c r="C14" s="30">
        <v>2.5</v>
      </c>
      <c r="D14" s="30">
        <v>2.2999999999999998</v>
      </c>
      <c r="E14" s="10" t="s">
        <v>125</v>
      </c>
    </row>
    <row r="15" spans="1:8" x14ac:dyDescent="0.25">
      <c r="A15" s="8" t="s">
        <v>95</v>
      </c>
      <c r="B15" s="30">
        <v>4.5</v>
      </c>
      <c r="C15" s="30">
        <v>5</v>
      </c>
      <c r="D15" s="30">
        <v>4.5</v>
      </c>
      <c r="E15" s="10" t="s">
        <v>126</v>
      </c>
    </row>
    <row r="16" spans="1:8" x14ac:dyDescent="0.25">
      <c r="A16" s="8" t="s">
        <v>96</v>
      </c>
      <c r="B16" s="30">
        <v>4.5999999999999996</v>
      </c>
      <c r="C16" s="30">
        <v>5</v>
      </c>
      <c r="D16" s="30">
        <v>4.5999999999999996</v>
      </c>
      <c r="E16" s="10" t="s">
        <v>127</v>
      </c>
    </row>
    <row r="18" spans="1:5" x14ac:dyDescent="0.25">
      <c r="A18" s="5" t="s">
        <v>128</v>
      </c>
      <c r="B18" s="6"/>
      <c r="C18" s="6"/>
      <c r="D18" s="6"/>
      <c r="E18" s="6"/>
    </row>
    <row r="19" spans="1:5" ht="19.5" customHeight="1" x14ac:dyDescent="0.25">
      <c r="A19" s="7" t="s">
        <v>116</v>
      </c>
      <c r="B19" s="7" t="s">
        <v>117</v>
      </c>
      <c r="C19" s="7" t="s">
        <v>118</v>
      </c>
      <c r="D19" s="7" t="s">
        <v>119</v>
      </c>
      <c r="E19" s="7"/>
    </row>
    <row r="20" spans="1:5" x14ac:dyDescent="0.25">
      <c r="A20" s="8" t="s">
        <v>90</v>
      </c>
      <c r="B20" s="30">
        <v>8.9</v>
      </c>
      <c r="C20" s="30">
        <v>9.3000000000000007</v>
      </c>
      <c r="D20" s="30">
        <v>8.8000000000000007</v>
      </c>
    </row>
    <row r="21" spans="1:5" x14ac:dyDescent="0.25">
      <c r="A21" s="8" t="s">
        <v>91</v>
      </c>
      <c r="B21" s="30">
        <v>4.9000000000000004</v>
      </c>
      <c r="C21" s="30">
        <v>5.3</v>
      </c>
      <c r="D21" s="30">
        <v>5</v>
      </c>
    </row>
    <row r="22" spans="1:5" x14ac:dyDescent="0.25">
      <c r="A22" s="8" t="s">
        <v>92</v>
      </c>
      <c r="B22" s="30">
        <v>2.4</v>
      </c>
      <c r="C22" s="30">
        <v>2.7</v>
      </c>
      <c r="D22" s="30">
        <v>2.25</v>
      </c>
    </row>
    <row r="23" spans="1:5" x14ac:dyDescent="0.25">
      <c r="A23" s="8" t="s">
        <v>93</v>
      </c>
      <c r="B23" s="30">
        <v>5.5</v>
      </c>
      <c r="C23" s="30">
        <v>6.3</v>
      </c>
      <c r="D23" s="30">
        <v>5.7</v>
      </c>
    </row>
    <row r="24" spans="1:5" x14ac:dyDescent="0.25">
      <c r="A24" s="8" t="s">
        <v>94</v>
      </c>
      <c r="B24" s="30">
        <v>1.95</v>
      </c>
      <c r="C24" s="30">
        <v>1.95</v>
      </c>
      <c r="D24" s="30">
        <v>1.8</v>
      </c>
    </row>
    <row r="25" spans="1:5" x14ac:dyDescent="0.25">
      <c r="A25" s="8" t="s">
        <v>95</v>
      </c>
      <c r="B25" s="30">
        <v>3.8</v>
      </c>
      <c r="C25" s="30">
        <v>4.0999999999999996</v>
      </c>
      <c r="D25" s="30">
        <v>3.75</v>
      </c>
    </row>
    <row r="26" spans="1:5" x14ac:dyDescent="0.25">
      <c r="A26" s="8" t="s">
        <v>96</v>
      </c>
      <c r="B26" s="30">
        <v>3.85</v>
      </c>
      <c r="C26" s="30">
        <v>4.05</v>
      </c>
      <c r="D26" s="30">
        <v>3.85</v>
      </c>
    </row>
    <row r="28" spans="1:5" x14ac:dyDescent="0.25">
      <c r="A28" s="5" t="s">
        <v>129</v>
      </c>
      <c r="B28" s="6"/>
      <c r="C28" s="6"/>
      <c r="D28" s="6"/>
      <c r="E28" s="6"/>
    </row>
    <row r="29" spans="1:5" ht="19.5" customHeight="1" x14ac:dyDescent="0.25">
      <c r="A29" s="7" t="s">
        <v>116</v>
      </c>
      <c r="B29" s="7" t="s">
        <v>117</v>
      </c>
      <c r="C29" s="7" t="s">
        <v>118</v>
      </c>
      <c r="D29" s="7" t="s">
        <v>119</v>
      </c>
      <c r="E29" s="7"/>
    </row>
    <row r="30" spans="1:5" x14ac:dyDescent="0.25">
      <c r="A30" s="8" t="s">
        <v>90</v>
      </c>
      <c r="B30" s="31">
        <f t="shared" ref="B30:D36" si="0">B10-B20</f>
        <v>1.5999999999999996</v>
      </c>
      <c r="C30" s="31">
        <f t="shared" si="0"/>
        <v>1.6999999999999993</v>
      </c>
      <c r="D30" s="31">
        <f t="shared" si="0"/>
        <v>1.6999999999999993</v>
      </c>
    </row>
    <row r="31" spans="1:5" x14ac:dyDescent="0.25">
      <c r="A31" s="8" t="s">
        <v>91</v>
      </c>
      <c r="B31" s="31">
        <f t="shared" si="0"/>
        <v>1.0999999999999996</v>
      </c>
      <c r="C31" s="31">
        <f t="shared" si="0"/>
        <v>1.2000000000000002</v>
      </c>
      <c r="D31" s="31">
        <f t="shared" si="0"/>
        <v>1.2000000000000002</v>
      </c>
    </row>
    <row r="32" spans="1:5" x14ac:dyDescent="0.25">
      <c r="A32" s="8" t="s">
        <v>92</v>
      </c>
      <c r="B32" s="31">
        <f t="shared" si="0"/>
        <v>0.60000000000000009</v>
      </c>
      <c r="C32" s="31">
        <f t="shared" si="0"/>
        <v>0.79999999999999982</v>
      </c>
      <c r="D32" s="31">
        <f t="shared" si="0"/>
        <v>0.54999999999999982</v>
      </c>
    </row>
    <row r="33" spans="1:5" x14ac:dyDescent="0.25">
      <c r="A33" s="8" t="s">
        <v>93</v>
      </c>
      <c r="B33" s="31">
        <f t="shared" si="0"/>
        <v>1.5</v>
      </c>
      <c r="C33" s="31">
        <f t="shared" si="0"/>
        <v>2.7</v>
      </c>
      <c r="D33" s="31">
        <f t="shared" si="0"/>
        <v>1.7999999999999998</v>
      </c>
    </row>
    <row r="34" spans="1:5" x14ac:dyDescent="0.25">
      <c r="A34" s="8" t="s">
        <v>94</v>
      </c>
      <c r="B34" s="31">
        <f t="shared" si="0"/>
        <v>0.55000000000000004</v>
      </c>
      <c r="C34" s="31">
        <f t="shared" si="0"/>
        <v>0.55000000000000004</v>
      </c>
      <c r="D34" s="31">
        <f t="shared" si="0"/>
        <v>0.49999999999999978</v>
      </c>
    </row>
    <row r="35" spans="1:5" x14ac:dyDescent="0.25">
      <c r="A35" s="8" t="s">
        <v>95</v>
      </c>
      <c r="B35" s="31">
        <f t="shared" si="0"/>
        <v>0.70000000000000018</v>
      </c>
      <c r="C35" s="31">
        <f t="shared" si="0"/>
        <v>0.90000000000000036</v>
      </c>
      <c r="D35" s="31">
        <f t="shared" si="0"/>
        <v>0.75</v>
      </c>
    </row>
    <row r="36" spans="1:5" x14ac:dyDescent="0.25">
      <c r="A36" s="8" t="s">
        <v>96</v>
      </c>
      <c r="B36" s="31">
        <f t="shared" si="0"/>
        <v>0.74999999999999956</v>
      </c>
      <c r="C36" s="31">
        <f t="shared" si="0"/>
        <v>0.95000000000000018</v>
      </c>
      <c r="D36" s="31">
        <f t="shared" si="0"/>
        <v>0.74999999999999956</v>
      </c>
    </row>
    <row r="38" spans="1:5" x14ac:dyDescent="0.25">
      <c r="A38" s="5" t="s">
        <v>130</v>
      </c>
      <c r="B38" s="6"/>
      <c r="C38" s="6"/>
      <c r="D38" s="6"/>
      <c r="E38" s="6"/>
    </row>
    <row r="39" spans="1:5" ht="19.5" customHeight="1" x14ac:dyDescent="0.25">
      <c r="A39" s="7" t="s">
        <v>116</v>
      </c>
      <c r="B39" s="7" t="s">
        <v>117</v>
      </c>
      <c r="C39" s="7" t="s">
        <v>118</v>
      </c>
      <c r="D39" s="7" t="s">
        <v>119</v>
      </c>
      <c r="E39" s="7" t="s">
        <v>131</v>
      </c>
    </row>
    <row r="40" spans="1:5" x14ac:dyDescent="0.25">
      <c r="A40" s="8" t="s">
        <v>90</v>
      </c>
      <c r="B40" s="19">
        <f>Ventas_Ana!D5</f>
        <v>1.6</v>
      </c>
      <c r="C40" s="19">
        <f>Ventas_Berry!D5</f>
        <v>4.4838709677419351</v>
      </c>
      <c r="D40" s="19">
        <f>Ventas_Martina!D5</f>
        <v>2.2666666666666666</v>
      </c>
      <c r="E40" s="31">
        <f t="shared" ref="E40:E46" si="1">SUM(B40:D40)</f>
        <v>8.3505376344086031</v>
      </c>
    </row>
    <row r="41" spans="1:5" x14ac:dyDescent="0.25">
      <c r="A41" s="8" t="s">
        <v>91</v>
      </c>
      <c r="B41" s="19">
        <f>Ventas_Ana!E5</f>
        <v>2.3666666666666667</v>
      </c>
      <c r="C41" s="19">
        <f>Ventas_Berry!E5</f>
        <v>4.935483870967742</v>
      </c>
      <c r="D41" s="19">
        <f>Ventas_Martina!E5</f>
        <v>3</v>
      </c>
      <c r="E41" s="31">
        <f t="shared" si="1"/>
        <v>10.302150537634409</v>
      </c>
    </row>
    <row r="42" spans="1:5" x14ac:dyDescent="0.25">
      <c r="A42" s="8" t="s">
        <v>92</v>
      </c>
      <c r="B42" s="19">
        <f>Ventas_Ana!F5</f>
        <v>3.0333333333333332</v>
      </c>
      <c r="C42" s="19">
        <f>Ventas_Berry!F5</f>
        <v>2.806451612903226</v>
      </c>
      <c r="D42" s="19">
        <f>Ventas_Martina!F5</f>
        <v>4.8666666666666663</v>
      </c>
      <c r="E42" s="31">
        <f t="shared" si="1"/>
        <v>10.706451612903226</v>
      </c>
    </row>
    <row r="43" spans="1:5" x14ac:dyDescent="0.25">
      <c r="A43" s="8" t="s">
        <v>93</v>
      </c>
      <c r="B43" s="19">
        <f>Ventas_Ana!G5</f>
        <v>13.766666666666667</v>
      </c>
      <c r="C43" s="19">
        <f>Ventas_Berry!G5</f>
        <v>4.4516129032258061</v>
      </c>
      <c r="D43" s="19">
        <f>Ventas_Martina!G5</f>
        <v>8.4333333333333336</v>
      </c>
      <c r="E43" s="31">
        <f t="shared" si="1"/>
        <v>26.651612903225807</v>
      </c>
    </row>
    <row r="44" spans="1:5" x14ac:dyDescent="0.25">
      <c r="A44" s="8" t="s">
        <v>94</v>
      </c>
      <c r="B44" s="19">
        <f>Ventas_Ana!H5</f>
        <v>3.4666666666666668</v>
      </c>
      <c r="C44" s="19">
        <f>Ventas_Berry!H5</f>
        <v>4.838709677419355</v>
      </c>
      <c r="D44" s="19">
        <f>Ventas_Martina!H5</f>
        <v>4.9666666666666668</v>
      </c>
      <c r="E44" s="31">
        <f t="shared" si="1"/>
        <v>13.272043010752688</v>
      </c>
    </row>
    <row r="45" spans="1:5" x14ac:dyDescent="0.25">
      <c r="A45" s="8" t="s">
        <v>95</v>
      </c>
      <c r="B45" s="19">
        <f>Ventas_Ana!I5</f>
        <v>1.5</v>
      </c>
      <c r="C45" s="19">
        <f>Ventas_Berry!I5</f>
        <v>4.225806451612903</v>
      </c>
      <c r="D45" s="19">
        <f>Ventas_Martina!I5</f>
        <v>2.0666666666666669</v>
      </c>
      <c r="E45" s="31">
        <f t="shared" si="1"/>
        <v>7.7924731182795703</v>
      </c>
    </row>
    <row r="46" spans="1:5" x14ac:dyDescent="0.25">
      <c r="A46" s="8" t="s">
        <v>96</v>
      </c>
      <c r="B46" s="19">
        <f>Ventas_Ana!J5</f>
        <v>2.2000000000000002</v>
      </c>
      <c r="C46" s="19">
        <f>Ventas_Berry!J5</f>
        <v>4.258064516129032</v>
      </c>
      <c r="D46" s="19">
        <f>Ventas_Martina!J5</f>
        <v>3.1333333333333333</v>
      </c>
      <c r="E46" s="31">
        <f t="shared" si="1"/>
        <v>9.591397849462366</v>
      </c>
    </row>
    <row r="47" spans="1:5" x14ac:dyDescent="0.25">
      <c r="A47" s="3" t="s">
        <v>131</v>
      </c>
      <c r="B47" s="32">
        <f>SUM(B40:B46)</f>
        <v>27.933333333333334</v>
      </c>
      <c r="C47" s="32">
        <f>SUM(C40:C46)</f>
        <v>30</v>
      </c>
      <c r="D47" s="32">
        <f>SUM(D40:D46)</f>
        <v>28.733333333333331</v>
      </c>
      <c r="E47" s="32">
        <f>SUM(E40:E46)</f>
        <v>86.666666666666671</v>
      </c>
    </row>
    <row r="49" spans="1:5" x14ac:dyDescent="0.25">
      <c r="A49" s="5" t="s">
        <v>132</v>
      </c>
      <c r="B49" s="6"/>
      <c r="C49" s="6"/>
      <c r="D49" s="6"/>
      <c r="E49" s="6"/>
    </row>
    <row r="50" spans="1:5" ht="19.5" customHeight="1" x14ac:dyDescent="0.25">
      <c r="A50" s="7" t="s">
        <v>116</v>
      </c>
      <c r="B50" s="7" t="s">
        <v>117</v>
      </c>
      <c r="C50" s="7" t="s">
        <v>118</v>
      </c>
      <c r="D50" s="7" t="s">
        <v>119</v>
      </c>
      <c r="E50" s="7" t="s">
        <v>131</v>
      </c>
    </row>
    <row r="51" spans="1:5" x14ac:dyDescent="0.25">
      <c r="A51" s="8" t="s">
        <v>90</v>
      </c>
      <c r="B51" s="33">
        <f t="shared" ref="B51:D57" si="2">B40*$B$4</f>
        <v>48</v>
      </c>
      <c r="C51" s="33">
        <f t="shared" si="2"/>
        <v>134.51612903225805</v>
      </c>
      <c r="D51" s="33">
        <f t="shared" si="2"/>
        <v>68</v>
      </c>
      <c r="E51" s="33">
        <f t="shared" ref="E51:E57" si="3">SUM(B51:D51)</f>
        <v>250.51612903225805</v>
      </c>
    </row>
    <row r="52" spans="1:5" x14ac:dyDescent="0.25">
      <c r="A52" s="8" t="s">
        <v>91</v>
      </c>
      <c r="B52" s="33">
        <f t="shared" si="2"/>
        <v>71</v>
      </c>
      <c r="C52" s="33">
        <f t="shared" si="2"/>
        <v>148.06451612903226</v>
      </c>
      <c r="D52" s="33">
        <f t="shared" si="2"/>
        <v>90</v>
      </c>
      <c r="E52" s="33">
        <f t="shared" si="3"/>
        <v>309.06451612903226</v>
      </c>
    </row>
    <row r="53" spans="1:5" x14ac:dyDescent="0.25">
      <c r="A53" s="8" t="s">
        <v>92</v>
      </c>
      <c r="B53" s="33">
        <f t="shared" si="2"/>
        <v>91</v>
      </c>
      <c r="C53" s="33">
        <f t="shared" si="2"/>
        <v>84.193548387096783</v>
      </c>
      <c r="D53" s="33">
        <f t="shared" si="2"/>
        <v>146</v>
      </c>
      <c r="E53" s="33">
        <f t="shared" si="3"/>
        <v>321.19354838709677</v>
      </c>
    </row>
    <row r="54" spans="1:5" x14ac:dyDescent="0.25">
      <c r="A54" s="8" t="s">
        <v>93</v>
      </c>
      <c r="B54" s="33">
        <f t="shared" si="2"/>
        <v>413</v>
      </c>
      <c r="C54" s="33">
        <f t="shared" si="2"/>
        <v>133.54838709677418</v>
      </c>
      <c r="D54" s="33">
        <f t="shared" si="2"/>
        <v>253</v>
      </c>
      <c r="E54" s="33">
        <f t="shared" si="3"/>
        <v>799.54838709677415</v>
      </c>
    </row>
    <row r="55" spans="1:5" x14ac:dyDescent="0.25">
      <c r="A55" s="8" t="s">
        <v>94</v>
      </c>
      <c r="B55" s="33">
        <f t="shared" si="2"/>
        <v>104</v>
      </c>
      <c r="C55" s="33">
        <f t="shared" si="2"/>
        <v>145.16129032258064</v>
      </c>
      <c r="D55" s="33">
        <f t="shared" si="2"/>
        <v>149</v>
      </c>
      <c r="E55" s="33">
        <f t="shared" si="3"/>
        <v>398.16129032258061</v>
      </c>
    </row>
    <row r="56" spans="1:5" x14ac:dyDescent="0.25">
      <c r="A56" s="8" t="s">
        <v>95</v>
      </c>
      <c r="B56" s="33">
        <f t="shared" si="2"/>
        <v>45</v>
      </c>
      <c r="C56" s="33">
        <f t="shared" si="2"/>
        <v>126.77419354838709</v>
      </c>
      <c r="D56" s="33">
        <f t="shared" si="2"/>
        <v>62.000000000000007</v>
      </c>
      <c r="E56" s="33">
        <f t="shared" si="3"/>
        <v>233.77419354838707</v>
      </c>
    </row>
    <row r="57" spans="1:5" x14ac:dyDescent="0.25">
      <c r="A57" s="8" t="s">
        <v>96</v>
      </c>
      <c r="B57" s="33">
        <f t="shared" si="2"/>
        <v>66</v>
      </c>
      <c r="C57" s="33">
        <f t="shared" si="2"/>
        <v>127.74193548387096</v>
      </c>
      <c r="D57" s="33">
        <f t="shared" si="2"/>
        <v>94</v>
      </c>
      <c r="E57" s="33">
        <f t="shared" si="3"/>
        <v>287.74193548387098</v>
      </c>
    </row>
    <row r="58" spans="1:5" x14ac:dyDescent="0.25">
      <c r="A58" s="3" t="s">
        <v>131</v>
      </c>
      <c r="B58" s="34">
        <f>SUM(B51:B57)</f>
        <v>838</v>
      </c>
      <c r="C58" s="34">
        <f>SUM(C51:C57)</f>
        <v>899.99999999999989</v>
      </c>
      <c r="D58" s="34">
        <f>SUM(D51:D57)</f>
        <v>862</v>
      </c>
      <c r="E58" s="34">
        <f>SUM(E51:E57)</f>
        <v>2600</v>
      </c>
    </row>
    <row r="60" spans="1:5" x14ac:dyDescent="0.25">
      <c r="A60" s="5" t="s">
        <v>133</v>
      </c>
      <c r="B60" s="6"/>
      <c r="C60" s="6"/>
      <c r="D60" s="6"/>
      <c r="E60" s="6"/>
    </row>
    <row r="61" spans="1:5" ht="19.5" customHeight="1" x14ac:dyDescent="0.25">
      <c r="A61" s="7" t="s">
        <v>116</v>
      </c>
      <c r="B61" s="7" t="s">
        <v>117</v>
      </c>
      <c r="C61" s="7" t="s">
        <v>118</v>
      </c>
      <c r="D61" s="7" t="s">
        <v>119</v>
      </c>
      <c r="E61" s="7" t="s">
        <v>131</v>
      </c>
    </row>
    <row r="62" spans="1:5" x14ac:dyDescent="0.25">
      <c r="A62" s="8" t="s">
        <v>90</v>
      </c>
      <c r="B62" s="35">
        <f t="shared" ref="B62:D68" si="4">B51*B10</f>
        <v>504</v>
      </c>
      <c r="C62" s="35">
        <f t="shared" si="4"/>
        <v>1479.6774193548385</v>
      </c>
      <c r="D62" s="35">
        <f t="shared" si="4"/>
        <v>714</v>
      </c>
      <c r="E62" s="35">
        <f t="shared" ref="E62:E68" si="5">SUM(B62:D62)</f>
        <v>2697.6774193548385</v>
      </c>
    </row>
    <row r="63" spans="1:5" x14ac:dyDescent="0.25">
      <c r="A63" s="8" t="s">
        <v>91</v>
      </c>
      <c r="B63" s="35">
        <f t="shared" si="4"/>
        <v>426</v>
      </c>
      <c r="C63" s="35">
        <f t="shared" si="4"/>
        <v>962.41935483870964</v>
      </c>
      <c r="D63" s="35">
        <f t="shared" si="4"/>
        <v>558</v>
      </c>
      <c r="E63" s="35">
        <f t="shared" si="5"/>
        <v>1946.4193548387098</v>
      </c>
    </row>
    <row r="64" spans="1:5" x14ac:dyDescent="0.25">
      <c r="A64" s="8" t="s">
        <v>92</v>
      </c>
      <c r="B64" s="35">
        <f t="shared" si="4"/>
        <v>273</v>
      </c>
      <c r="C64" s="35">
        <f t="shared" si="4"/>
        <v>294.67741935483872</v>
      </c>
      <c r="D64" s="35">
        <f t="shared" si="4"/>
        <v>408.79999999999995</v>
      </c>
      <c r="E64" s="35">
        <f t="shared" si="5"/>
        <v>976.47741935483873</v>
      </c>
    </row>
    <row r="65" spans="1:5" x14ac:dyDescent="0.25">
      <c r="A65" s="8" t="s">
        <v>93</v>
      </c>
      <c r="B65" s="35">
        <f t="shared" si="4"/>
        <v>2891</v>
      </c>
      <c r="C65" s="35">
        <f t="shared" si="4"/>
        <v>1201.9354838709676</v>
      </c>
      <c r="D65" s="35">
        <f t="shared" si="4"/>
        <v>1897.5</v>
      </c>
      <c r="E65" s="35">
        <f t="shared" si="5"/>
        <v>5990.4354838709678</v>
      </c>
    </row>
    <row r="66" spans="1:5" x14ac:dyDescent="0.25">
      <c r="A66" s="8" t="s">
        <v>94</v>
      </c>
      <c r="B66" s="35">
        <f t="shared" si="4"/>
        <v>260</v>
      </c>
      <c r="C66" s="35">
        <f t="shared" si="4"/>
        <v>362.90322580645159</v>
      </c>
      <c r="D66" s="35">
        <f t="shared" si="4"/>
        <v>342.7</v>
      </c>
      <c r="E66" s="35">
        <f t="shared" si="5"/>
        <v>965.60322580645152</v>
      </c>
    </row>
    <row r="67" spans="1:5" x14ac:dyDescent="0.25">
      <c r="A67" s="8" t="s">
        <v>95</v>
      </c>
      <c r="B67" s="35">
        <f t="shared" si="4"/>
        <v>202.5</v>
      </c>
      <c r="C67" s="35">
        <f t="shared" si="4"/>
        <v>633.87096774193549</v>
      </c>
      <c r="D67" s="35">
        <f t="shared" si="4"/>
        <v>279.00000000000006</v>
      </c>
      <c r="E67" s="35">
        <f t="shared" si="5"/>
        <v>1115.3709677419356</v>
      </c>
    </row>
    <row r="68" spans="1:5" x14ac:dyDescent="0.25">
      <c r="A68" s="8" t="s">
        <v>96</v>
      </c>
      <c r="B68" s="35">
        <f t="shared" si="4"/>
        <v>303.59999999999997</v>
      </c>
      <c r="C68" s="35">
        <f t="shared" si="4"/>
        <v>638.70967741935476</v>
      </c>
      <c r="D68" s="35">
        <f t="shared" si="4"/>
        <v>432.4</v>
      </c>
      <c r="E68" s="35">
        <f t="shared" si="5"/>
        <v>1374.7096774193546</v>
      </c>
    </row>
    <row r="69" spans="1:5" x14ac:dyDescent="0.25">
      <c r="A69" s="3" t="s">
        <v>131</v>
      </c>
      <c r="B69" s="36">
        <f>SUM(B62:B68)</f>
        <v>4860.1000000000004</v>
      </c>
      <c r="C69" s="36">
        <f>SUM(C62:C68)</f>
        <v>5574.1935483870966</v>
      </c>
      <c r="D69" s="36">
        <f>SUM(D62:D68)</f>
        <v>4632.3999999999996</v>
      </c>
      <c r="E69" s="36">
        <f>SUM(E62:E68)</f>
        <v>15066.693548387097</v>
      </c>
    </row>
    <row r="71" spans="1:5" ht="39.75" customHeight="1" x14ac:dyDescent="0.25">
      <c r="A71" s="65" t="s">
        <v>134</v>
      </c>
      <c r="B71" s="65"/>
      <c r="C71" s="65"/>
      <c r="D71" s="65"/>
      <c r="E71" s="65"/>
    </row>
  </sheetData>
  <mergeCells count="2">
    <mergeCell ref="D4:H4"/>
    <mergeCell ref="A71:E71"/>
  </mergeCells>
  <dataValidations count="1">
    <dataValidation type="list" sqref="B5">
      <formula1>$A$10:$A$16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504D"/>
  </sheetPr>
  <dimension ref="A1:X37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D17" sqref="D17"/>
    </sheetView>
  </sheetViews>
  <sheetFormatPr baseColWidth="10" defaultColWidth="8.7109375" defaultRowHeight="15" x14ac:dyDescent="0.25"/>
  <cols>
    <col min="1" max="1" width="52" customWidth="1"/>
    <col min="2" max="5" width="13" customWidth="1"/>
    <col min="6" max="7" width="15" customWidth="1"/>
    <col min="8" max="15" width="13" customWidth="1"/>
    <col min="16" max="16" width="10" customWidth="1"/>
    <col min="17" max="17" width="38" customWidth="1"/>
    <col min="18" max="24" width="13" customWidth="1"/>
  </cols>
  <sheetData>
    <row r="1" spans="1:5" ht="18" x14ac:dyDescent="0.25">
      <c r="A1" s="1" t="s">
        <v>135</v>
      </c>
    </row>
    <row r="2" spans="1:5" x14ac:dyDescent="0.25">
      <c r="A2" s="2" t="s">
        <v>136</v>
      </c>
    </row>
    <row r="3" spans="1:5" x14ac:dyDescent="0.25">
      <c r="A3" s="37" t="s">
        <v>137</v>
      </c>
      <c r="B3" s="4" t="str">
        <f>Datos_3J!B5</f>
        <v>Cerveza</v>
      </c>
    </row>
    <row r="5" spans="1:5" x14ac:dyDescent="0.25">
      <c r="A5" s="5" t="s">
        <v>138</v>
      </c>
      <c r="B5" s="6"/>
      <c r="C5" s="6"/>
      <c r="D5" s="6"/>
      <c r="E5" s="6"/>
    </row>
    <row r="6" spans="1:5" x14ac:dyDescent="0.25">
      <c r="A6" s="7" t="s">
        <v>139</v>
      </c>
      <c r="B6" s="7" t="s">
        <v>117</v>
      </c>
      <c r="C6" s="7" t="s">
        <v>118</v>
      </c>
      <c r="D6" s="7" t="s">
        <v>119</v>
      </c>
      <c r="E6" s="7" t="s">
        <v>131</v>
      </c>
    </row>
    <row r="7" spans="1:5" x14ac:dyDescent="0.25">
      <c r="A7" s="8" t="s">
        <v>140</v>
      </c>
      <c r="B7" s="21">
        <f>INDEX(Datos_3J!B62:B68,Datos_3J!$B$6)</f>
        <v>2891</v>
      </c>
      <c r="C7" s="21">
        <f>INDEX(Datos_3J!C62:C68,Datos_3J!$B$6)</f>
        <v>1201.9354838709676</v>
      </c>
      <c r="D7" s="21">
        <f>INDEX(Datos_3J!D62:D68,Datos_3J!$B$6)</f>
        <v>1897.5</v>
      </c>
      <c r="E7" s="38">
        <f>SUM(B7:D7)</f>
        <v>5990.4354838709678</v>
      </c>
    </row>
    <row r="8" spans="1:5" x14ac:dyDescent="0.25">
      <c r="A8" s="8" t="s">
        <v>141</v>
      </c>
      <c r="B8" s="35">
        <f>Datos_3J!B69-B7</f>
        <v>1969.1000000000004</v>
      </c>
      <c r="C8" s="35">
        <f>Datos_3J!C69-C7</f>
        <v>4372.2580645161288</v>
      </c>
      <c r="D8" s="35">
        <f>Datos_3J!D69-D7</f>
        <v>2734.8999999999996</v>
      </c>
      <c r="E8" s="38">
        <f>SUM(B8:D8)</f>
        <v>9076.2580645161288</v>
      </c>
    </row>
    <row r="9" spans="1:5" x14ac:dyDescent="0.25">
      <c r="A9" s="8" t="s">
        <v>142</v>
      </c>
      <c r="B9" s="35">
        <f>B7+B8</f>
        <v>4860.1000000000004</v>
      </c>
      <c r="C9" s="35">
        <f>C7+C8</f>
        <v>5574.1935483870966</v>
      </c>
      <c r="D9" s="35">
        <f>D7+D8</f>
        <v>4632.3999999999996</v>
      </c>
      <c r="E9" s="38">
        <f>SUM(B9:D9)</f>
        <v>15066.693548387097</v>
      </c>
    </row>
    <row r="10" spans="1:5" x14ac:dyDescent="0.25">
      <c r="A10" s="8" t="s">
        <v>143</v>
      </c>
      <c r="B10" s="39">
        <f>B7/$E$7</f>
        <v>0.4826026434612164</v>
      </c>
      <c r="C10" s="39">
        <f>C7/$E$7</f>
        <v>0.20064242192527332</v>
      </c>
      <c r="D10" s="39">
        <f>D7/$E$7</f>
        <v>0.31675493461351023</v>
      </c>
      <c r="E10" s="40">
        <f>SUM(B10:D10)</f>
        <v>0.99999999999999989</v>
      </c>
    </row>
    <row r="12" spans="1:5" x14ac:dyDescent="0.25">
      <c r="A12" s="5" t="s">
        <v>144</v>
      </c>
      <c r="B12" s="6"/>
      <c r="C12" s="6"/>
      <c r="D12" s="6"/>
      <c r="E12" s="6"/>
    </row>
    <row r="13" spans="1:5" x14ac:dyDescent="0.25">
      <c r="A13" s="7" t="s">
        <v>145</v>
      </c>
      <c r="B13" s="7" t="s">
        <v>117</v>
      </c>
      <c r="C13" s="7" t="s">
        <v>118</v>
      </c>
      <c r="D13" s="7" t="s">
        <v>119</v>
      </c>
      <c r="E13" s="7" t="s">
        <v>146</v>
      </c>
    </row>
    <row r="14" spans="1:5" x14ac:dyDescent="0.25">
      <c r="A14" s="8" t="s">
        <v>147</v>
      </c>
      <c r="B14" s="39">
        <f>B10</f>
        <v>0.4826026434612164</v>
      </c>
      <c r="C14" s="39">
        <f>C10</f>
        <v>0.20064242192527332</v>
      </c>
      <c r="D14" s="39">
        <f>D10</f>
        <v>0.31675493461351023</v>
      </c>
      <c r="E14" s="39">
        <f>SUM(B14:D14)</f>
        <v>0.99999999999999989</v>
      </c>
    </row>
    <row r="15" spans="1:5" x14ac:dyDescent="0.25">
      <c r="A15" s="8" t="s">
        <v>148</v>
      </c>
      <c r="B15" s="39">
        <f>0</f>
        <v>0</v>
      </c>
      <c r="C15" s="39">
        <f>C$7/($E$7-$B$7)</f>
        <v>0.38779174147217227</v>
      </c>
      <c r="D15" s="39">
        <f>D$7/($E$7-$B$7)</f>
        <v>0.61220825852782768</v>
      </c>
      <c r="E15" s="39">
        <f>SUM(B15:D15)</f>
        <v>1</v>
      </c>
    </row>
    <row r="16" spans="1:5" x14ac:dyDescent="0.25">
      <c r="A16" s="8" t="s">
        <v>149</v>
      </c>
      <c r="B16" s="39">
        <f>B$7/($E$7-$C$7)</f>
        <v>0.60373812258536075</v>
      </c>
      <c r="C16" s="39">
        <f>0</f>
        <v>0</v>
      </c>
      <c r="D16" s="39">
        <f>D$7/($E$7-$C$7)</f>
        <v>0.39626187741463925</v>
      </c>
      <c r="E16" s="39">
        <f>SUM(B16:D16)</f>
        <v>1</v>
      </c>
    </row>
    <row r="17" spans="1:24" x14ac:dyDescent="0.25">
      <c r="A17" s="8" t="s">
        <v>150</v>
      </c>
      <c r="B17" s="39">
        <f>B$7/($E$7-$D$7)</f>
        <v>0.70633901056895831</v>
      </c>
      <c r="C17" s="39">
        <f>C$7/($E$7-$D$7)</f>
        <v>0.29366098943104163</v>
      </c>
      <c r="D17" s="39">
        <f>0</f>
        <v>0</v>
      </c>
      <c r="E17" s="39">
        <f>SUM(B17:D17)</f>
        <v>1</v>
      </c>
    </row>
    <row r="19" spans="1:24" x14ac:dyDescent="0.25">
      <c r="A19" s="5" t="s">
        <v>151</v>
      </c>
      <c r="B19" s="6"/>
      <c r="C19" s="6"/>
      <c r="D19" s="6"/>
      <c r="E19" s="6"/>
    </row>
    <row r="20" spans="1:24" ht="30" customHeight="1" x14ac:dyDescent="0.25">
      <c r="A20" s="7" t="s">
        <v>145</v>
      </c>
      <c r="B20" s="7" t="s">
        <v>117</v>
      </c>
      <c r="C20" s="7" t="s">
        <v>118</v>
      </c>
      <c r="D20" s="7" t="s">
        <v>119</v>
      </c>
      <c r="E20" s="7" t="s">
        <v>152</v>
      </c>
    </row>
    <row r="21" spans="1:24" x14ac:dyDescent="0.25">
      <c r="A21" s="8" t="s">
        <v>148</v>
      </c>
      <c r="B21" s="35">
        <f>$B$7*B15</f>
        <v>0</v>
      </c>
      <c r="C21" s="35">
        <f>$B$7*C15</f>
        <v>1121.10592459605</v>
      </c>
      <c r="D21" s="35">
        <f>$B$7*D15</f>
        <v>1769.8940754039497</v>
      </c>
      <c r="E21" s="38">
        <f>SUM(B21:D21)</f>
        <v>2891</v>
      </c>
    </row>
    <row r="22" spans="1:24" x14ac:dyDescent="0.25">
      <c r="A22" s="8" t="s">
        <v>149</v>
      </c>
      <c r="B22" s="35">
        <f>$C$7*B16</f>
        <v>725.65427250098514</v>
      </c>
      <c r="C22" s="35">
        <f>$C$7*C16</f>
        <v>0</v>
      </c>
      <c r="D22" s="35">
        <f>$C$7*D16</f>
        <v>476.28121136998249</v>
      </c>
      <c r="E22" s="38">
        <f>SUM(B22:D22)</f>
        <v>1201.9354838709676</v>
      </c>
    </row>
    <row r="23" spans="1:24" x14ac:dyDescent="0.25">
      <c r="A23" s="8" t="s">
        <v>150</v>
      </c>
      <c r="B23" s="35">
        <f>$D$7*B17</f>
        <v>1340.2782725545983</v>
      </c>
      <c r="C23" s="35">
        <f>$D$7*C17</f>
        <v>557.22172744540148</v>
      </c>
      <c r="D23" s="35">
        <f>$D$7*D17</f>
        <v>0</v>
      </c>
      <c r="E23" s="38">
        <f>SUM(B23:D23)</f>
        <v>1897.4999999999998</v>
      </c>
    </row>
    <row r="24" spans="1:24" ht="25.5" customHeight="1" x14ac:dyDescent="0.25">
      <c r="A24" s="65" t="s">
        <v>153</v>
      </c>
      <c r="B24" s="65"/>
      <c r="C24" s="65"/>
      <c r="D24" s="65"/>
      <c r="E24" s="65"/>
    </row>
    <row r="25" spans="1:24" x14ac:dyDescent="0.25">
      <c r="A25" s="5" t="s">
        <v>154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43.5" customHeight="1" x14ac:dyDescent="0.25">
      <c r="A26" s="7" t="s">
        <v>155</v>
      </c>
      <c r="B26" s="7" t="s">
        <v>156</v>
      </c>
      <c r="C26" s="7" t="s">
        <v>118</v>
      </c>
      <c r="D26" s="7" t="s">
        <v>119</v>
      </c>
      <c r="E26" s="7" t="s">
        <v>157</v>
      </c>
      <c r="F26" s="7" t="s">
        <v>158</v>
      </c>
      <c r="G26" s="7" t="s">
        <v>159</v>
      </c>
      <c r="H26" s="7" t="s">
        <v>160</v>
      </c>
      <c r="I26" s="7" t="s">
        <v>161</v>
      </c>
      <c r="J26" s="7" t="s">
        <v>162</v>
      </c>
      <c r="K26" s="7" t="s">
        <v>131</v>
      </c>
      <c r="L26" s="7" t="s">
        <v>163</v>
      </c>
      <c r="M26" s="7" t="s">
        <v>164</v>
      </c>
      <c r="N26" s="7" t="s">
        <v>165</v>
      </c>
      <c r="O26" s="7" t="s">
        <v>166</v>
      </c>
      <c r="P26" s="7" t="s">
        <v>167</v>
      </c>
      <c r="Q26" s="7" t="s">
        <v>168</v>
      </c>
      <c r="R26" s="7" t="s">
        <v>169</v>
      </c>
      <c r="S26" s="7" t="s">
        <v>170</v>
      </c>
      <c r="T26" s="7" t="s">
        <v>171</v>
      </c>
      <c r="U26" s="7" t="s">
        <v>172</v>
      </c>
      <c r="V26" s="7" t="s">
        <v>173</v>
      </c>
      <c r="W26" s="7" t="s">
        <v>174</v>
      </c>
      <c r="X26" s="7" t="s">
        <v>175</v>
      </c>
    </row>
    <row r="27" spans="1:24" x14ac:dyDescent="0.25">
      <c r="A27" s="10" t="str">
        <f t="shared" ref="A27:A34" si="0">"Ana "&amp;IF(B27=1,"ofrece","NO ofrece")&amp;" | Berry "&amp;IF(C27=1,"ofrece","NO ofrece")&amp;" | Martina "&amp;IF(D27=1,"ofrece","NO ofrece")</f>
        <v>Ana ofrece | Berry ofrece | Martina ofrece</v>
      </c>
      <c r="B27" s="27">
        <v>1</v>
      </c>
      <c r="C27" s="27">
        <v>1</v>
      </c>
      <c r="D27" s="27">
        <v>1</v>
      </c>
      <c r="E27" s="9" t="str">
        <f t="shared" ref="E27:E34" si="1">B27&amp;C27&amp;D27</f>
        <v>111</v>
      </c>
      <c r="F27" s="35">
        <f t="shared" ref="F27:F34" si="2">B27*$B$7+C27*$C$7+D27*$D$7</f>
        <v>5990.4354838709678</v>
      </c>
      <c r="G27" s="35">
        <f t="shared" ref="G27:G34" si="3">(1-B27)*$B$7+(1-C27)*$C$7+(1-D27)*$D$7</f>
        <v>0</v>
      </c>
      <c r="H27" s="35">
        <f t="shared" ref="H27:H34" si="4">B27*($B$7+IF($F27&gt;0,$G27*$B$7/$F27,0))+$B$8</f>
        <v>4860.1000000000004</v>
      </c>
      <c r="I27" s="35">
        <f t="shared" ref="I27:I34" si="5">C27*($C$7+IF($F27&gt;0,$G27*$C$7/$F27,0))+$C$8</f>
        <v>5574.1935483870966</v>
      </c>
      <c r="J27" s="35">
        <f t="shared" ref="J27:J34" si="6">D27*($D$7+IF($F27&gt;0,$G27*$D$7/$F27,0))+$D$8</f>
        <v>4632.3999999999996</v>
      </c>
      <c r="K27" s="35">
        <f t="shared" ref="K27:K34" si="7">SUM(H27:J27)</f>
        <v>15066.693548387097</v>
      </c>
      <c r="L27" s="35">
        <f t="shared" ref="L27:L34" si="8">K27/3</f>
        <v>5022.2311827956992</v>
      </c>
      <c r="M27" s="41">
        <f t="shared" ref="M27:O34" si="9">H27-$L27</f>
        <v>-162.13118279569881</v>
      </c>
      <c r="N27" s="41">
        <f t="shared" si="9"/>
        <v>551.96236559139743</v>
      </c>
      <c r="O27" s="41">
        <f t="shared" si="9"/>
        <v>-389.83118279569953</v>
      </c>
      <c r="P27" s="28">
        <f t="shared" ref="P27:P34" si="10">ROUND(SUM(M27:O27),4)</f>
        <v>0</v>
      </c>
      <c r="Q27" s="9" t="str">
        <f t="shared" ref="Q27:Q34" si="11">"("&amp;TEXT(M27,"#,##0;-#,##0")&amp;"; "&amp;TEXT(N27,"#,##0;-#,##0")&amp;"; "&amp;TEXT(O27,"#,##0;-#,##0")&amp;")"</f>
        <v>(-162; 552; -390)</v>
      </c>
      <c r="R27" s="41">
        <f t="shared" ref="R27:R34" si="12">INDEX(M$27:M$34,MATCH((1-B27)&amp;C27&amp;D27,$E$27:$E$34,0))</f>
        <v>-3053.1311827956979</v>
      </c>
      <c r="S27" s="41">
        <f t="shared" ref="S27:S34" si="13">INDEX(N$27:N$34,MATCH(B27&amp;(1-C27)&amp;D27,$E$27:$E$34,0))</f>
        <v>-649.97311827956946</v>
      </c>
      <c r="T27" s="41">
        <f t="shared" ref="T27:T34" si="14">INDEX(O$27:O$34,MATCH(B27&amp;C27&amp;(1-D27),$E$27:$E$34,0))</f>
        <v>-2287.3311827956995</v>
      </c>
      <c r="U27" s="28">
        <f t="shared" ref="U27:W34" si="15">IF(M27&gt;=R27,1,0)</f>
        <v>1</v>
      </c>
      <c r="V27" s="28">
        <f t="shared" si="15"/>
        <v>1</v>
      </c>
      <c r="W27" s="28">
        <f t="shared" si="15"/>
        <v>1</v>
      </c>
      <c r="X27" s="42" t="str">
        <f t="shared" ref="X27:X34" si="16">IF(U27*V27*W27=1,"NASH","")</f>
        <v>NASH</v>
      </c>
    </row>
    <row r="28" spans="1:24" x14ac:dyDescent="0.25">
      <c r="A28" s="10" t="str">
        <f t="shared" si="0"/>
        <v>Ana ofrece | Berry ofrece | Martina NO ofrece</v>
      </c>
      <c r="B28" s="27">
        <v>1</v>
      </c>
      <c r="C28" s="27">
        <v>1</v>
      </c>
      <c r="D28" s="27">
        <v>0</v>
      </c>
      <c r="E28" s="9" t="str">
        <f t="shared" si="1"/>
        <v>110</v>
      </c>
      <c r="F28" s="35">
        <f t="shared" si="2"/>
        <v>4092.9354838709678</v>
      </c>
      <c r="G28" s="35">
        <f t="shared" si="3"/>
        <v>1897.5</v>
      </c>
      <c r="H28" s="35">
        <f t="shared" si="4"/>
        <v>6200.3782725545989</v>
      </c>
      <c r="I28" s="35">
        <f t="shared" si="5"/>
        <v>6131.4152758324981</v>
      </c>
      <c r="J28" s="35">
        <f t="shared" si="6"/>
        <v>2734.8999999999996</v>
      </c>
      <c r="K28" s="35">
        <f t="shared" si="7"/>
        <v>15066.693548387097</v>
      </c>
      <c r="L28" s="35">
        <f t="shared" si="8"/>
        <v>5022.2311827956992</v>
      </c>
      <c r="M28" s="41">
        <f t="shared" si="9"/>
        <v>1178.1470897588997</v>
      </c>
      <c r="N28" s="41">
        <f t="shared" si="9"/>
        <v>1109.1840930367989</v>
      </c>
      <c r="O28" s="41">
        <f t="shared" si="9"/>
        <v>-2287.3311827956995</v>
      </c>
      <c r="P28" s="28">
        <f t="shared" si="10"/>
        <v>0</v>
      </c>
      <c r="Q28" s="9" t="str">
        <f t="shared" si="11"/>
        <v>(1,178; 1,109; -2,287)</v>
      </c>
      <c r="R28" s="41">
        <f t="shared" si="12"/>
        <v>-3053.1311827956988</v>
      </c>
      <c r="S28" s="41">
        <f t="shared" si="13"/>
        <v>-649.97311827957037</v>
      </c>
      <c r="T28" s="41">
        <f t="shared" si="14"/>
        <v>-389.83118279569953</v>
      </c>
      <c r="U28" s="28">
        <f t="shared" si="15"/>
        <v>1</v>
      </c>
      <c r="V28" s="28">
        <f t="shared" si="15"/>
        <v>1</v>
      </c>
      <c r="W28" s="28">
        <f t="shared" si="15"/>
        <v>0</v>
      </c>
      <c r="X28" s="42" t="str">
        <f t="shared" si="16"/>
        <v/>
      </c>
    </row>
    <row r="29" spans="1:24" x14ac:dyDescent="0.25">
      <c r="A29" s="10" t="str">
        <f t="shared" si="0"/>
        <v>Ana ofrece | Berry NO ofrece | Martina ofrece</v>
      </c>
      <c r="B29" s="27">
        <v>1</v>
      </c>
      <c r="C29" s="27">
        <v>0</v>
      </c>
      <c r="D29" s="27">
        <v>1</v>
      </c>
      <c r="E29" s="9" t="str">
        <f t="shared" si="1"/>
        <v>101</v>
      </c>
      <c r="F29" s="35">
        <f t="shared" si="2"/>
        <v>4788.5</v>
      </c>
      <c r="G29" s="35">
        <f t="shared" si="3"/>
        <v>1201.9354838709676</v>
      </c>
      <c r="H29" s="35">
        <f t="shared" si="4"/>
        <v>5585.7542725009853</v>
      </c>
      <c r="I29" s="35">
        <f t="shared" si="5"/>
        <v>4372.2580645161288</v>
      </c>
      <c r="J29" s="35">
        <f t="shared" si="6"/>
        <v>5108.6812113699816</v>
      </c>
      <c r="K29" s="35">
        <f t="shared" si="7"/>
        <v>15066.693548387095</v>
      </c>
      <c r="L29" s="35">
        <f t="shared" si="8"/>
        <v>5022.2311827956983</v>
      </c>
      <c r="M29" s="41">
        <f t="shared" si="9"/>
        <v>563.52308970528702</v>
      </c>
      <c r="N29" s="41">
        <f t="shared" si="9"/>
        <v>-649.97311827956946</v>
      </c>
      <c r="O29" s="41">
        <f t="shared" si="9"/>
        <v>86.450028574283351</v>
      </c>
      <c r="P29" s="28">
        <f t="shared" si="10"/>
        <v>0</v>
      </c>
      <c r="Q29" s="9" t="str">
        <f t="shared" si="11"/>
        <v>(564; -650; 86)</v>
      </c>
      <c r="R29" s="41">
        <f t="shared" si="12"/>
        <v>-3053.1311827956988</v>
      </c>
      <c r="S29" s="41">
        <f t="shared" si="13"/>
        <v>551.96236559139743</v>
      </c>
      <c r="T29" s="41">
        <f t="shared" si="14"/>
        <v>-2287.3311827956995</v>
      </c>
      <c r="U29" s="28">
        <f t="shared" si="15"/>
        <v>1</v>
      </c>
      <c r="V29" s="28">
        <f t="shared" si="15"/>
        <v>0</v>
      </c>
      <c r="W29" s="28">
        <f t="shared" si="15"/>
        <v>1</v>
      </c>
      <c r="X29" s="42" t="str">
        <f t="shared" si="16"/>
        <v/>
      </c>
    </row>
    <row r="30" spans="1:24" x14ac:dyDescent="0.25">
      <c r="A30" s="10" t="str">
        <f t="shared" si="0"/>
        <v>Ana ofrece | Berry NO ofrece | Martina NO ofrece</v>
      </c>
      <c r="B30" s="27">
        <v>1</v>
      </c>
      <c r="C30" s="27">
        <v>0</v>
      </c>
      <c r="D30" s="27">
        <v>0</v>
      </c>
      <c r="E30" s="9" t="str">
        <f t="shared" si="1"/>
        <v>100</v>
      </c>
      <c r="F30" s="35">
        <f t="shared" si="2"/>
        <v>2891</v>
      </c>
      <c r="G30" s="35">
        <f t="shared" si="3"/>
        <v>3099.4354838709678</v>
      </c>
      <c r="H30" s="35">
        <f t="shared" si="4"/>
        <v>7959.5354838709682</v>
      </c>
      <c r="I30" s="35">
        <f t="shared" si="5"/>
        <v>4372.2580645161288</v>
      </c>
      <c r="J30" s="35">
        <f t="shared" si="6"/>
        <v>2734.8999999999996</v>
      </c>
      <c r="K30" s="35">
        <f t="shared" si="7"/>
        <v>15066.693548387097</v>
      </c>
      <c r="L30" s="35">
        <f t="shared" si="8"/>
        <v>5022.2311827956992</v>
      </c>
      <c r="M30" s="41">
        <f t="shared" si="9"/>
        <v>2937.304301075269</v>
      </c>
      <c r="N30" s="41">
        <f t="shared" si="9"/>
        <v>-649.97311827957037</v>
      </c>
      <c r="O30" s="41">
        <f t="shared" si="9"/>
        <v>-2287.3311827956995</v>
      </c>
      <c r="P30" s="28">
        <f t="shared" si="10"/>
        <v>0</v>
      </c>
      <c r="Q30" s="9" t="str">
        <f t="shared" si="11"/>
        <v>(2,937; -650; -2,287)</v>
      </c>
      <c r="R30" s="41">
        <f t="shared" si="12"/>
        <v>-1056.3193548387094</v>
      </c>
      <c r="S30" s="41">
        <f t="shared" si="13"/>
        <v>1109.1840930367989</v>
      </c>
      <c r="T30" s="41">
        <f t="shared" si="14"/>
        <v>86.450028574283351</v>
      </c>
      <c r="U30" s="28">
        <f t="shared" si="15"/>
        <v>1</v>
      </c>
      <c r="V30" s="28">
        <f t="shared" si="15"/>
        <v>0</v>
      </c>
      <c r="W30" s="28">
        <f t="shared" si="15"/>
        <v>0</v>
      </c>
      <c r="X30" s="42" t="str">
        <f t="shared" si="16"/>
        <v/>
      </c>
    </row>
    <row r="31" spans="1:24" x14ac:dyDescent="0.25">
      <c r="A31" s="10" t="str">
        <f t="shared" si="0"/>
        <v>Ana NO ofrece | Berry ofrece | Martina ofrece</v>
      </c>
      <c r="B31" s="27">
        <v>0</v>
      </c>
      <c r="C31" s="27">
        <v>1</v>
      </c>
      <c r="D31" s="27">
        <v>1</v>
      </c>
      <c r="E31" s="9" t="str">
        <f t="shared" si="1"/>
        <v>011</v>
      </c>
      <c r="F31" s="35">
        <f t="shared" si="2"/>
        <v>3099.4354838709678</v>
      </c>
      <c r="G31" s="35">
        <f t="shared" si="3"/>
        <v>2891</v>
      </c>
      <c r="H31" s="35">
        <f t="shared" si="4"/>
        <v>1969.1000000000004</v>
      </c>
      <c r="I31" s="35">
        <f t="shared" si="5"/>
        <v>6695.2994729831462</v>
      </c>
      <c r="J31" s="35">
        <f t="shared" si="6"/>
        <v>6402.2940754039491</v>
      </c>
      <c r="K31" s="35">
        <f t="shared" si="7"/>
        <v>15066.693548387095</v>
      </c>
      <c r="L31" s="35">
        <f t="shared" si="8"/>
        <v>5022.2311827956983</v>
      </c>
      <c r="M31" s="41">
        <f t="shared" si="9"/>
        <v>-3053.1311827956979</v>
      </c>
      <c r="N31" s="41">
        <f t="shared" si="9"/>
        <v>1673.0682901874479</v>
      </c>
      <c r="O31" s="41">
        <f t="shared" si="9"/>
        <v>1380.0628926082509</v>
      </c>
      <c r="P31" s="28">
        <f t="shared" si="10"/>
        <v>0</v>
      </c>
      <c r="Q31" s="9" t="str">
        <f t="shared" si="11"/>
        <v>(-3,053; 1,673; 1,380)</v>
      </c>
      <c r="R31" s="41">
        <f t="shared" si="12"/>
        <v>-162.13118279569881</v>
      </c>
      <c r="S31" s="41">
        <f t="shared" si="13"/>
        <v>-649.97311827957037</v>
      </c>
      <c r="T31" s="41">
        <f t="shared" si="14"/>
        <v>-2287.3311827956995</v>
      </c>
      <c r="U31" s="28">
        <f t="shared" si="15"/>
        <v>0</v>
      </c>
      <c r="V31" s="28">
        <f t="shared" si="15"/>
        <v>1</v>
      </c>
      <c r="W31" s="28">
        <f t="shared" si="15"/>
        <v>1</v>
      </c>
      <c r="X31" s="42" t="str">
        <f t="shared" si="16"/>
        <v/>
      </c>
    </row>
    <row r="32" spans="1:24" x14ac:dyDescent="0.25">
      <c r="A32" s="10" t="str">
        <f t="shared" si="0"/>
        <v>Ana NO ofrece | Berry ofrece | Martina NO ofrece</v>
      </c>
      <c r="B32" s="27">
        <v>0</v>
      </c>
      <c r="C32" s="27">
        <v>1</v>
      </c>
      <c r="D32" s="27">
        <v>0</v>
      </c>
      <c r="E32" s="9" t="str">
        <f t="shared" si="1"/>
        <v>010</v>
      </c>
      <c r="F32" s="35">
        <f t="shared" si="2"/>
        <v>1201.9354838709676</v>
      </c>
      <c r="G32" s="35">
        <f t="shared" si="3"/>
        <v>4788.5</v>
      </c>
      <c r="H32" s="35">
        <f t="shared" si="4"/>
        <v>1969.1000000000004</v>
      </c>
      <c r="I32" s="35">
        <f t="shared" si="5"/>
        <v>10362.693548387097</v>
      </c>
      <c r="J32" s="35">
        <f t="shared" si="6"/>
        <v>2734.8999999999996</v>
      </c>
      <c r="K32" s="35">
        <f t="shared" si="7"/>
        <v>15066.693548387097</v>
      </c>
      <c r="L32" s="35">
        <f t="shared" si="8"/>
        <v>5022.2311827956992</v>
      </c>
      <c r="M32" s="41">
        <f t="shared" si="9"/>
        <v>-3053.1311827956988</v>
      </c>
      <c r="N32" s="41">
        <f t="shared" si="9"/>
        <v>5340.4623655913974</v>
      </c>
      <c r="O32" s="41">
        <f t="shared" si="9"/>
        <v>-2287.3311827956995</v>
      </c>
      <c r="P32" s="28">
        <f t="shared" si="10"/>
        <v>0</v>
      </c>
      <c r="Q32" s="9" t="str">
        <f t="shared" si="11"/>
        <v>(-3,053; 5,340; -2,287)</v>
      </c>
      <c r="R32" s="41">
        <f t="shared" si="12"/>
        <v>1178.1470897588997</v>
      </c>
      <c r="S32" s="41">
        <f t="shared" si="13"/>
        <v>1346.838709677419</v>
      </c>
      <c r="T32" s="41">
        <f t="shared" si="14"/>
        <v>1380.0628926082509</v>
      </c>
      <c r="U32" s="28">
        <f t="shared" si="15"/>
        <v>0</v>
      </c>
      <c r="V32" s="28">
        <f t="shared" si="15"/>
        <v>1</v>
      </c>
      <c r="W32" s="28">
        <f t="shared" si="15"/>
        <v>0</v>
      </c>
      <c r="X32" s="42" t="str">
        <f t="shared" si="16"/>
        <v/>
      </c>
    </row>
    <row r="33" spans="1:24" x14ac:dyDescent="0.25">
      <c r="A33" s="10" t="str">
        <f t="shared" si="0"/>
        <v>Ana NO ofrece | Berry NO ofrece | Martina ofrece</v>
      </c>
      <c r="B33" s="27">
        <v>0</v>
      </c>
      <c r="C33" s="27">
        <v>0</v>
      </c>
      <c r="D33" s="27">
        <v>1</v>
      </c>
      <c r="E33" s="9" t="str">
        <f t="shared" si="1"/>
        <v>001</v>
      </c>
      <c r="F33" s="35">
        <f t="shared" si="2"/>
        <v>1897.5</v>
      </c>
      <c r="G33" s="35">
        <f t="shared" si="3"/>
        <v>4092.9354838709678</v>
      </c>
      <c r="H33" s="35">
        <f t="shared" si="4"/>
        <v>1969.1000000000004</v>
      </c>
      <c r="I33" s="35">
        <f t="shared" si="5"/>
        <v>4372.2580645161288</v>
      </c>
      <c r="J33" s="35">
        <f t="shared" si="6"/>
        <v>8725.3354838709674</v>
      </c>
      <c r="K33" s="35">
        <f t="shared" si="7"/>
        <v>15066.693548387097</v>
      </c>
      <c r="L33" s="35">
        <f t="shared" si="8"/>
        <v>5022.2311827956992</v>
      </c>
      <c r="M33" s="41">
        <f t="shared" si="9"/>
        <v>-3053.1311827956988</v>
      </c>
      <c r="N33" s="41">
        <f t="shared" si="9"/>
        <v>-649.97311827957037</v>
      </c>
      <c r="O33" s="41">
        <f t="shared" si="9"/>
        <v>3703.1043010752683</v>
      </c>
      <c r="P33" s="28">
        <f t="shared" si="10"/>
        <v>0</v>
      </c>
      <c r="Q33" s="9" t="str">
        <f t="shared" si="11"/>
        <v>(-3,053; -650; 3,703)</v>
      </c>
      <c r="R33" s="41">
        <f t="shared" si="12"/>
        <v>563.52308970528702</v>
      </c>
      <c r="S33" s="41">
        <f t="shared" si="13"/>
        <v>1673.0682901874479</v>
      </c>
      <c r="T33" s="41">
        <f t="shared" si="14"/>
        <v>-290.51935483871011</v>
      </c>
      <c r="U33" s="28">
        <f t="shared" si="15"/>
        <v>0</v>
      </c>
      <c r="V33" s="28">
        <f t="shared" si="15"/>
        <v>0</v>
      </c>
      <c r="W33" s="28">
        <f t="shared" si="15"/>
        <v>1</v>
      </c>
      <c r="X33" s="42" t="str">
        <f t="shared" si="16"/>
        <v/>
      </c>
    </row>
    <row r="34" spans="1:24" x14ac:dyDescent="0.25">
      <c r="A34" s="10" t="str">
        <f t="shared" si="0"/>
        <v>Ana NO ofrece | Berry NO ofrece | Martina NO ofrece</v>
      </c>
      <c r="B34" s="27">
        <v>0</v>
      </c>
      <c r="C34" s="27">
        <v>0</v>
      </c>
      <c r="D34" s="27">
        <v>0</v>
      </c>
      <c r="E34" s="9" t="str">
        <f t="shared" si="1"/>
        <v>000</v>
      </c>
      <c r="F34" s="35">
        <f t="shared" si="2"/>
        <v>0</v>
      </c>
      <c r="G34" s="35">
        <f t="shared" si="3"/>
        <v>5990.4354838709678</v>
      </c>
      <c r="H34" s="35">
        <f t="shared" si="4"/>
        <v>1969.1000000000004</v>
      </c>
      <c r="I34" s="35">
        <f t="shared" si="5"/>
        <v>4372.2580645161288</v>
      </c>
      <c r="J34" s="35">
        <f t="shared" si="6"/>
        <v>2734.8999999999996</v>
      </c>
      <c r="K34" s="35">
        <f t="shared" si="7"/>
        <v>9076.2580645161288</v>
      </c>
      <c r="L34" s="35">
        <f t="shared" si="8"/>
        <v>3025.4193548387098</v>
      </c>
      <c r="M34" s="41">
        <f t="shared" si="9"/>
        <v>-1056.3193548387094</v>
      </c>
      <c r="N34" s="41">
        <f t="shared" si="9"/>
        <v>1346.838709677419</v>
      </c>
      <c r="O34" s="41">
        <f t="shared" si="9"/>
        <v>-290.51935483871011</v>
      </c>
      <c r="P34" s="28">
        <f t="shared" si="10"/>
        <v>0</v>
      </c>
      <c r="Q34" s="9" t="str">
        <f t="shared" si="11"/>
        <v>(-1,056; 1,347; -291)</v>
      </c>
      <c r="R34" s="41">
        <f t="shared" si="12"/>
        <v>2937.304301075269</v>
      </c>
      <c r="S34" s="41">
        <f t="shared" si="13"/>
        <v>5340.4623655913974</v>
      </c>
      <c r="T34" s="41">
        <f t="shared" si="14"/>
        <v>3703.1043010752683</v>
      </c>
      <c r="U34" s="28">
        <f t="shared" si="15"/>
        <v>0</v>
      </c>
      <c r="V34" s="28">
        <f t="shared" si="15"/>
        <v>0</v>
      </c>
      <c r="W34" s="28">
        <f t="shared" si="15"/>
        <v>0</v>
      </c>
      <c r="X34" s="42" t="str">
        <f t="shared" si="16"/>
        <v/>
      </c>
    </row>
    <row r="36" spans="1:24" ht="55.5" customHeight="1" x14ac:dyDescent="0.25">
      <c r="A36" s="65" t="s">
        <v>176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</row>
    <row r="37" spans="1:24" ht="30" customHeight="1" x14ac:dyDescent="0.25">
      <c r="A37" s="65" t="s">
        <v>177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</row>
  </sheetData>
  <mergeCells count="3">
    <mergeCell ref="A24:E24"/>
    <mergeCell ref="A36:L36"/>
    <mergeCell ref="A37:L37"/>
  </mergeCells>
  <conditionalFormatting sqref="A27:X34">
    <cfRule type="expression" dxfId="0" priority="2">
      <formula>$X27="NASH"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504D"/>
  </sheetPr>
  <dimension ref="A1:H61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7109375" defaultRowHeight="15" x14ac:dyDescent="0.25"/>
  <cols>
    <col min="1" max="1" width="30" customWidth="1"/>
    <col min="2" max="5" width="26" customWidth="1"/>
    <col min="6" max="6" width="22" customWidth="1"/>
    <col min="7" max="8" width="10" customWidth="1"/>
  </cols>
  <sheetData>
    <row r="1" spans="1:6" ht="18" x14ac:dyDescent="0.25">
      <c r="A1" s="1" t="s">
        <v>178</v>
      </c>
    </row>
    <row r="2" spans="1:6" x14ac:dyDescent="0.25">
      <c r="A2" s="2" t="s">
        <v>179</v>
      </c>
    </row>
    <row r="3" spans="1:6" x14ac:dyDescent="0.25">
      <c r="A3" s="37" t="s">
        <v>137</v>
      </c>
      <c r="B3" s="4" t="str">
        <f>Datos_3J!B5</f>
        <v>Cerveza</v>
      </c>
    </row>
    <row r="5" spans="1:6" x14ac:dyDescent="0.25">
      <c r="A5" s="5" t="s">
        <v>180</v>
      </c>
      <c r="B5" s="6"/>
      <c r="C5" s="6"/>
      <c r="D5" s="6"/>
      <c r="E5" s="6"/>
      <c r="F5" s="6"/>
    </row>
    <row r="7" spans="1:6" x14ac:dyDescent="0.25">
      <c r="A7" s="66" t="s">
        <v>181</v>
      </c>
      <c r="B7" s="66"/>
      <c r="C7" s="66"/>
      <c r="D7" s="66"/>
      <c r="E7" s="66"/>
    </row>
    <row r="8" spans="1:6" x14ac:dyDescent="0.25">
      <c r="A8" s="22"/>
      <c r="B8" s="67" t="s">
        <v>182</v>
      </c>
      <c r="C8" s="67"/>
      <c r="D8" s="67" t="s">
        <v>183</v>
      </c>
      <c r="E8" s="67"/>
    </row>
    <row r="9" spans="1:6" ht="30" customHeight="1" x14ac:dyDescent="0.25">
      <c r="A9" s="3" t="s">
        <v>184</v>
      </c>
      <c r="B9" s="68" t="str">
        <f>"("&amp;TEXT(INDEX(Terna_Proceso!H$27:H$34,MATCH("111",Terna_Proceso!$E$27:$E$34,0)),"#,##0")&amp;"; "&amp;TEXT(INDEX(Terna_Proceso!I$27:I$34,MATCH("111",Terna_Proceso!$E$27:$E$34,0)),"#,##0")&amp;"; "&amp;TEXT(INDEX(Terna_Proceso!J$27:J$34,MATCH("111",Terna_Proceso!$E$27:$E$34,0)),"#,##0")&amp;")"</f>
        <v>(4,860; 5,574; 4,632)</v>
      </c>
      <c r="C9" s="68"/>
      <c r="D9" s="68" t="str">
        <f>"("&amp;TEXT(INDEX(Terna_Proceso!H$27:H$34,MATCH("101",Terna_Proceso!$E$27:$E$34,0)),"#,##0")&amp;"; "&amp;TEXT(INDEX(Terna_Proceso!I$27:I$34,MATCH("101",Terna_Proceso!$E$27:$E$34,0)),"#,##0")&amp;"; "&amp;TEXT(INDEX(Terna_Proceso!J$27:J$34,MATCH("101",Terna_Proceso!$E$27:$E$34,0)),"#,##0")&amp;")"</f>
        <v>(5,586; 4,372; 5,109)</v>
      </c>
      <c r="E9" s="68"/>
    </row>
    <row r="10" spans="1:6" ht="30" customHeight="1" x14ac:dyDescent="0.25">
      <c r="A10" s="3" t="s">
        <v>185</v>
      </c>
      <c r="B10" s="68" t="str">
        <f>"("&amp;TEXT(INDEX(Terna_Proceso!H$27:H$34,MATCH("011",Terna_Proceso!$E$27:$E$34,0)),"#,##0")&amp;"; "&amp;TEXT(INDEX(Terna_Proceso!I$27:I$34,MATCH("011",Terna_Proceso!$E$27:$E$34,0)),"#,##0")&amp;"; "&amp;TEXT(INDEX(Terna_Proceso!J$27:J$34,MATCH("011",Terna_Proceso!$E$27:$E$34,0)),"#,##0")&amp;")"</f>
        <v>(1,969; 6,695; 6,402)</v>
      </c>
      <c r="C10" s="68"/>
      <c r="D10" s="68" t="str">
        <f>"("&amp;TEXT(INDEX(Terna_Proceso!H$27:H$34,MATCH("001",Terna_Proceso!$E$27:$E$34,0)),"#,##0")&amp;"; "&amp;TEXT(INDEX(Terna_Proceso!I$27:I$34,MATCH("001",Terna_Proceso!$E$27:$E$34,0)),"#,##0")&amp;"; "&amp;TEXT(INDEX(Terna_Proceso!J$27:J$34,MATCH("001",Terna_Proceso!$E$27:$E$34,0)),"#,##0")&amp;")"</f>
        <v>(1,969; 4,372; 8,725)</v>
      </c>
      <c r="E10" s="68"/>
    </row>
    <row r="13" spans="1:6" x14ac:dyDescent="0.25">
      <c r="A13" s="66" t="s">
        <v>186</v>
      </c>
      <c r="B13" s="66"/>
      <c r="C13" s="66"/>
      <c r="D13" s="66"/>
      <c r="E13" s="66"/>
    </row>
    <row r="14" spans="1:6" x14ac:dyDescent="0.25">
      <c r="A14" s="22"/>
      <c r="B14" s="67" t="s">
        <v>182</v>
      </c>
      <c r="C14" s="67"/>
      <c r="D14" s="67" t="s">
        <v>183</v>
      </c>
      <c r="E14" s="67"/>
    </row>
    <row r="15" spans="1:6" ht="30" customHeight="1" x14ac:dyDescent="0.25">
      <c r="A15" s="3" t="s">
        <v>184</v>
      </c>
      <c r="B15" s="68" t="str">
        <f>"("&amp;TEXT(INDEX(Terna_Proceso!H$27:H$34,MATCH("110",Terna_Proceso!$E$27:$E$34,0)),"#,##0")&amp;"; "&amp;TEXT(INDEX(Terna_Proceso!I$27:I$34,MATCH("110",Terna_Proceso!$E$27:$E$34,0)),"#,##0")&amp;"; "&amp;TEXT(INDEX(Terna_Proceso!J$27:J$34,MATCH("110",Terna_Proceso!$E$27:$E$34,0)),"#,##0")&amp;")"</f>
        <v>(6,200; 6,131; 2,735)</v>
      </c>
      <c r="C15" s="68"/>
      <c r="D15" s="68" t="str">
        <f>"("&amp;TEXT(INDEX(Terna_Proceso!H$27:H$34,MATCH("100",Terna_Proceso!$E$27:$E$34,0)),"#,##0")&amp;"; "&amp;TEXT(INDEX(Terna_Proceso!I$27:I$34,MATCH("100",Terna_Proceso!$E$27:$E$34,0)),"#,##0")&amp;"; "&amp;TEXT(INDEX(Terna_Proceso!J$27:J$34,MATCH("100",Terna_Proceso!$E$27:$E$34,0)),"#,##0")&amp;")"</f>
        <v>(7,960; 4,372; 2,735)</v>
      </c>
      <c r="E15" s="68"/>
    </row>
    <row r="16" spans="1:6" ht="30" customHeight="1" x14ac:dyDescent="0.25">
      <c r="A16" s="3" t="s">
        <v>185</v>
      </c>
      <c r="B16" s="68" t="str">
        <f>"("&amp;TEXT(INDEX(Terna_Proceso!H$27:H$34,MATCH("010",Terna_Proceso!$E$27:$E$34,0)),"#,##0")&amp;"; "&amp;TEXT(INDEX(Terna_Proceso!I$27:I$34,MATCH("010",Terna_Proceso!$E$27:$E$34,0)),"#,##0")&amp;"; "&amp;TEXT(INDEX(Terna_Proceso!J$27:J$34,MATCH("010",Terna_Proceso!$E$27:$E$34,0)),"#,##0")&amp;")"</f>
        <v>(1,969; 10,363; 2,735)</v>
      </c>
      <c r="C16" s="68"/>
      <c r="D16" s="68" t="str">
        <f>"("&amp;TEXT(INDEX(Terna_Proceso!H$27:H$34,MATCH("000",Terna_Proceso!$E$27:$E$34,0)),"#,##0")&amp;"; "&amp;TEXT(INDEX(Terna_Proceso!I$27:I$34,MATCH("000",Terna_Proceso!$E$27:$E$34,0)),"#,##0")&amp;"; "&amp;TEXT(INDEX(Terna_Proceso!J$27:J$34,MATCH("000",Terna_Proceso!$E$27:$E$34,0)),"#,##0")&amp;")"</f>
        <v>(1,969; 4,372; 2,735)</v>
      </c>
      <c r="E16" s="68"/>
    </row>
    <row r="19" spans="1:6" x14ac:dyDescent="0.25">
      <c r="A19" s="5" t="s">
        <v>187</v>
      </c>
      <c r="B19" s="6"/>
      <c r="C19" s="6"/>
      <c r="D19" s="6"/>
      <c r="E19" s="6"/>
      <c r="F19" s="6"/>
    </row>
    <row r="21" spans="1:6" x14ac:dyDescent="0.25">
      <c r="A21" s="66" t="s">
        <v>181</v>
      </c>
      <c r="B21" s="66"/>
      <c r="C21" s="66"/>
      <c r="D21" s="66"/>
      <c r="E21" s="66"/>
    </row>
    <row r="22" spans="1:6" x14ac:dyDescent="0.25">
      <c r="A22" s="22"/>
      <c r="B22" s="67" t="s">
        <v>182</v>
      </c>
      <c r="C22" s="67"/>
      <c r="D22" s="67" t="s">
        <v>183</v>
      </c>
      <c r="E22" s="67"/>
    </row>
    <row r="23" spans="1:6" ht="30" customHeight="1" x14ac:dyDescent="0.25">
      <c r="A23" s="3" t="s">
        <v>184</v>
      </c>
      <c r="B23" s="68" t="str">
        <f>INDEX(Terna_Proceso!Q$27:Q$34,MATCH("111",Terna_Proceso!$E$27:$E$34,0))&amp;IF(INDEX(Terna_Proceso!X$27:X$34,MATCH("111",Terna_Proceso!$E$27:$E$34,0))="NASH","  ◄ NASH","")</f>
        <v>(-162; 552; -390)  ◄ NASH</v>
      </c>
      <c r="C23" s="68"/>
      <c r="D23" s="68" t="str">
        <f>INDEX(Terna_Proceso!Q$27:Q$34,MATCH("101",Terna_Proceso!$E$27:$E$34,0))&amp;IF(INDEX(Terna_Proceso!X$27:X$34,MATCH("101",Terna_Proceso!$E$27:$E$34,0))="NASH","  ◄ NASH","")</f>
        <v>(564; -650; 86)</v>
      </c>
      <c r="E23" s="68"/>
    </row>
    <row r="24" spans="1:6" ht="30" customHeight="1" x14ac:dyDescent="0.25">
      <c r="A24" s="3" t="s">
        <v>185</v>
      </c>
      <c r="B24" s="68" t="str">
        <f>INDEX(Terna_Proceso!Q$27:Q$34,MATCH("011",Terna_Proceso!$E$27:$E$34,0))&amp;IF(INDEX(Terna_Proceso!X$27:X$34,MATCH("011",Terna_Proceso!$E$27:$E$34,0))="NASH","  ◄ NASH","")</f>
        <v>(-3,053; 1,673; 1,380)</v>
      </c>
      <c r="C24" s="68"/>
      <c r="D24" s="68" t="str">
        <f>INDEX(Terna_Proceso!Q$27:Q$34,MATCH("001",Terna_Proceso!$E$27:$E$34,0))&amp;IF(INDEX(Terna_Proceso!X$27:X$34,MATCH("001",Terna_Proceso!$E$27:$E$34,0))="NASH","  ◄ NASH","")</f>
        <v>(-3,053; -650; 3,703)</v>
      </c>
      <c r="E24" s="68"/>
    </row>
    <row r="27" spans="1:6" x14ac:dyDescent="0.25">
      <c r="A27" s="66" t="s">
        <v>186</v>
      </c>
      <c r="B27" s="66"/>
      <c r="C27" s="66"/>
      <c r="D27" s="66"/>
      <c r="E27" s="66"/>
    </row>
    <row r="28" spans="1:6" x14ac:dyDescent="0.25">
      <c r="A28" s="22"/>
      <c r="B28" s="67" t="s">
        <v>182</v>
      </c>
      <c r="C28" s="67"/>
      <c r="D28" s="67" t="s">
        <v>183</v>
      </c>
      <c r="E28" s="67"/>
    </row>
    <row r="29" spans="1:6" ht="30" customHeight="1" x14ac:dyDescent="0.25">
      <c r="A29" s="3" t="s">
        <v>184</v>
      </c>
      <c r="B29" s="68" t="str">
        <f>INDEX(Terna_Proceso!Q$27:Q$34,MATCH("110",Terna_Proceso!$E$27:$E$34,0))&amp;IF(INDEX(Terna_Proceso!X$27:X$34,MATCH("110",Terna_Proceso!$E$27:$E$34,0))="NASH","  ◄ NASH","")</f>
        <v>(1,178; 1,109; -2,287)</v>
      </c>
      <c r="C29" s="68"/>
      <c r="D29" s="68" t="str">
        <f>INDEX(Terna_Proceso!Q$27:Q$34,MATCH("100",Terna_Proceso!$E$27:$E$34,0))&amp;IF(INDEX(Terna_Proceso!X$27:X$34,MATCH("100",Terna_Proceso!$E$27:$E$34,0))="NASH","  ◄ NASH","")</f>
        <v>(2,937; -650; -2,287)</v>
      </c>
      <c r="E29" s="68"/>
    </row>
    <row r="30" spans="1:6" ht="30" customHeight="1" x14ac:dyDescent="0.25">
      <c r="A30" s="3" t="s">
        <v>185</v>
      </c>
      <c r="B30" s="68" t="str">
        <f>INDEX(Terna_Proceso!Q$27:Q$34,MATCH("010",Terna_Proceso!$E$27:$E$34,0))&amp;IF(INDEX(Terna_Proceso!X$27:X$34,MATCH("010",Terna_Proceso!$E$27:$E$34,0))="NASH","  ◄ NASH","")</f>
        <v>(-3,053; 5,340; -2,287)</v>
      </c>
      <c r="C30" s="68"/>
      <c r="D30" s="68" t="str">
        <f>INDEX(Terna_Proceso!Q$27:Q$34,MATCH("000",Terna_Proceso!$E$27:$E$34,0))&amp;IF(INDEX(Terna_Proceso!X$27:X$34,MATCH("000",Terna_Proceso!$E$27:$E$34,0))="NASH","  ◄ NASH","")</f>
        <v>(-1,056; 1,347; -291)</v>
      </c>
      <c r="E30" s="68"/>
    </row>
    <row r="33" spans="1:8" x14ac:dyDescent="0.25">
      <c r="A33" s="5" t="s">
        <v>188</v>
      </c>
      <c r="B33" s="6"/>
      <c r="C33" s="6"/>
      <c r="D33" s="6"/>
      <c r="E33" s="6"/>
      <c r="F33" s="6"/>
      <c r="G33" s="6"/>
      <c r="H33" s="6"/>
    </row>
    <row r="34" spans="1:8" ht="30" customHeight="1" x14ac:dyDescent="0.25">
      <c r="A34" s="7" t="s">
        <v>189</v>
      </c>
      <c r="B34" s="7" t="s">
        <v>190</v>
      </c>
      <c r="C34" s="7" t="s">
        <v>191</v>
      </c>
      <c r="D34" s="7" t="s">
        <v>192</v>
      </c>
      <c r="E34" s="7" t="s">
        <v>193</v>
      </c>
      <c r="F34" s="7" t="s">
        <v>194</v>
      </c>
    </row>
    <row r="35" spans="1:8" x14ac:dyDescent="0.25">
      <c r="A35" s="8" t="s">
        <v>117</v>
      </c>
      <c r="B35" s="10" t="s">
        <v>195</v>
      </c>
      <c r="C35" s="44">
        <f>INDEX(Terna_Proceso!M$27:M$34,MATCH("111",Terna_Proceso!$E$27:$E$34,0))</f>
        <v>-162.13118279569881</v>
      </c>
      <c r="D35" s="44">
        <f>INDEX(Terna_Proceso!M$27:M$34,MATCH("011",Terna_Proceso!$E$27:$E$34,0))</f>
        <v>-3053.1311827956979</v>
      </c>
      <c r="E35" s="42" t="str">
        <f t="shared" ref="E35:E46" si="0">IF(C35&gt;D35,"OFRECER","NO ofrecer")</f>
        <v>OFRECER</v>
      </c>
      <c r="F35" s="41">
        <f t="shared" ref="F35:F46" si="1">C35-D35</f>
        <v>2890.9999999999991</v>
      </c>
    </row>
    <row r="36" spans="1:8" x14ac:dyDescent="0.25">
      <c r="A36" s="8" t="s">
        <v>117</v>
      </c>
      <c r="B36" s="10" t="s">
        <v>196</v>
      </c>
      <c r="C36" s="44">
        <f>INDEX(Terna_Proceso!M$27:M$34,MATCH("110",Terna_Proceso!$E$27:$E$34,0))</f>
        <v>1178.1470897588997</v>
      </c>
      <c r="D36" s="44">
        <f>INDEX(Terna_Proceso!M$27:M$34,MATCH("010",Terna_Proceso!$E$27:$E$34,0))</f>
        <v>-3053.1311827956988</v>
      </c>
      <c r="E36" s="42" t="str">
        <f t="shared" si="0"/>
        <v>OFRECER</v>
      </c>
      <c r="F36" s="41">
        <f t="shared" si="1"/>
        <v>4231.2782725545985</v>
      </c>
    </row>
    <row r="37" spans="1:8" x14ac:dyDescent="0.25">
      <c r="A37" s="8" t="s">
        <v>117</v>
      </c>
      <c r="B37" s="10" t="s">
        <v>197</v>
      </c>
      <c r="C37" s="44">
        <f>INDEX(Terna_Proceso!M$27:M$34,MATCH("101",Terna_Proceso!$E$27:$E$34,0))</f>
        <v>563.52308970528702</v>
      </c>
      <c r="D37" s="44">
        <f>INDEX(Terna_Proceso!M$27:M$34,MATCH("001",Terna_Proceso!$E$27:$E$34,0))</f>
        <v>-3053.1311827956988</v>
      </c>
      <c r="E37" s="42" t="str">
        <f t="shared" si="0"/>
        <v>OFRECER</v>
      </c>
      <c r="F37" s="41">
        <f t="shared" si="1"/>
        <v>3616.6542725009858</v>
      </c>
    </row>
    <row r="38" spans="1:8" x14ac:dyDescent="0.25">
      <c r="A38" s="8" t="s">
        <v>117</v>
      </c>
      <c r="B38" s="10" t="s">
        <v>198</v>
      </c>
      <c r="C38" s="44">
        <f>INDEX(Terna_Proceso!M$27:M$34,MATCH("100",Terna_Proceso!$E$27:$E$34,0))</f>
        <v>2937.304301075269</v>
      </c>
      <c r="D38" s="44">
        <f>INDEX(Terna_Proceso!M$27:M$34,MATCH("000",Terna_Proceso!$E$27:$E$34,0))</f>
        <v>-1056.3193548387094</v>
      </c>
      <c r="E38" s="42" t="str">
        <f t="shared" si="0"/>
        <v>OFRECER</v>
      </c>
      <c r="F38" s="41">
        <f t="shared" si="1"/>
        <v>3993.6236559139784</v>
      </c>
    </row>
    <row r="39" spans="1:8" x14ac:dyDescent="0.25">
      <c r="A39" s="8" t="s">
        <v>118</v>
      </c>
      <c r="B39" s="10" t="s">
        <v>199</v>
      </c>
      <c r="C39" s="44">
        <f>INDEX(Terna_Proceso!N$27:N$34,MATCH("111",Terna_Proceso!$E$27:$E$34,0))</f>
        <v>551.96236559139743</v>
      </c>
      <c r="D39" s="44">
        <f>INDEX(Terna_Proceso!N$27:N$34,MATCH("101",Terna_Proceso!$E$27:$E$34,0))</f>
        <v>-649.97311827956946</v>
      </c>
      <c r="E39" s="42" t="str">
        <f t="shared" si="0"/>
        <v>OFRECER</v>
      </c>
      <c r="F39" s="41">
        <f t="shared" si="1"/>
        <v>1201.9354838709669</v>
      </c>
    </row>
    <row r="40" spans="1:8" x14ac:dyDescent="0.25">
      <c r="A40" s="8" t="s">
        <v>118</v>
      </c>
      <c r="B40" s="10" t="s">
        <v>200</v>
      </c>
      <c r="C40" s="44">
        <f>INDEX(Terna_Proceso!N$27:N$34,MATCH("110",Terna_Proceso!$E$27:$E$34,0))</f>
        <v>1109.1840930367989</v>
      </c>
      <c r="D40" s="44">
        <f>INDEX(Terna_Proceso!N$27:N$34,MATCH("100",Terna_Proceso!$E$27:$E$34,0))</f>
        <v>-649.97311827957037</v>
      </c>
      <c r="E40" s="42" t="str">
        <f t="shared" si="0"/>
        <v>OFRECER</v>
      </c>
      <c r="F40" s="41">
        <f t="shared" si="1"/>
        <v>1759.1572113163693</v>
      </c>
    </row>
    <row r="41" spans="1:8" x14ac:dyDescent="0.25">
      <c r="A41" s="8" t="s">
        <v>118</v>
      </c>
      <c r="B41" s="10" t="s">
        <v>201</v>
      </c>
      <c r="C41" s="44">
        <f>INDEX(Terna_Proceso!N$27:N$34,MATCH("011",Terna_Proceso!$E$27:$E$34,0))</f>
        <v>1673.0682901874479</v>
      </c>
      <c r="D41" s="44">
        <f>INDEX(Terna_Proceso!N$27:N$34,MATCH("001",Terna_Proceso!$E$27:$E$34,0))</f>
        <v>-649.97311827957037</v>
      </c>
      <c r="E41" s="42" t="str">
        <f t="shared" si="0"/>
        <v>OFRECER</v>
      </c>
      <c r="F41" s="41">
        <f t="shared" si="1"/>
        <v>2323.0414084670183</v>
      </c>
    </row>
    <row r="42" spans="1:8" x14ac:dyDescent="0.25">
      <c r="A42" s="8" t="s">
        <v>118</v>
      </c>
      <c r="B42" s="10" t="s">
        <v>202</v>
      </c>
      <c r="C42" s="44">
        <f>INDEX(Terna_Proceso!N$27:N$34,MATCH("010",Terna_Proceso!$E$27:$E$34,0))</f>
        <v>5340.4623655913974</v>
      </c>
      <c r="D42" s="44">
        <f>INDEX(Terna_Proceso!N$27:N$34,MATCH("000",Terna_Proceso!$E$27:$E$34,0))</f>
        <v>1346.838709677419</v>
      </c>
      <c r="E42" s="42" t="str">
        <f t="shared" si="0"/>
        <v>OFRECER</v>
      </c>
      <c r="F42" s="41">
        <f t="shared" si="1"/>
        <v>3993.6236559139784</v>
      </c>
    </row>
    <row r="43" spans="1:8" x14ac:dyDescent="0.25">
      <c r="A43" s="8" t="s">
        <v>119</v>
      </c>
      <c r="B43" s="10" t="s">
        <v>203</v>
      </c>
      <c r="C43" s="44">
        <f>INDEX(Terna_Proceso!O$27:O$34,MATCH("111",Terna_Proceso!$E$27:$E$34,0))</f>
        <v>-389.83118279569953</v>
      </c>
      <c r="D43" s="44">
        <f>INDEX(Terna_Proceso!O$27:O$34,MATCH("110",Terna_Proceso!$E$27:$E$34,0))</f>
        <v>-2287.3311827956995</v>
      </c>
      <c r="E43" s="42" t="str">
        <f t="shared" si="0"/>
        <v>OFRECER</v>
      </c>
      <c r="F43" s="41">
        <f t="shared" si="1"/>
        <v>1897.5</v>
      </c>
    </row>
    <row r="44" spans="1:8" x14ac:dyDescent="0.25">
      <c r="A44" s="8" t="s">
        <v>119</v>
      </c>
      <c r="B44" s="10" t="s">
        <v>204</v>
      </c>
      <c r="C44" s="44">
        <f>INDEX(Terna_Proceso!O$27:O$34,MATCH("101",Terna_Proceso!$E$27:$E$34,0))</f>
        <v>86.450028574283351</v>
      </c>
      <c r="D44" s="44">
        <f>INDEX(Terna_Proceso!O$27:O$34,MATCH("100",Terna_Proceso!$E$27:$E$34,0))</f>
        <v>-2287.3311827956995</v>
      </c>
      <c r="E44" s="42" t="str">
        <f t="shared" si="0"/>
        <v>OFRECER</v>
      </c>
      <c r="F44" s="41">
        <f t="shared" si="1"/>
        <v>2373.7812113699829</v>
      </c>
    </row>
    <row r="45" spans="1:8" x14ac:dyDescent="0.25">
      <c r="A45" s="8" t="s">
        <v>119</v>
      </c>
      <c r="B45" s="10" t="s">
        <v>205</v>
      </c>
      <c r="C45" s="44">
        <f>INDEX(Terna_Proceso!O$27:O$34,MATCH("011",Terna_Proceso!$E$27:$E$34,0))</f>
        <v>1380.0628926082509</v>
      </c>
      <c r="D45" s="44">
        <f>INDEX(Terna_Proceso!O$27:O$34,MATCH("010",Terna_Proceso!$E$27:$E$34,0))</f>
        <v>-2287.3311827956995</v>
      </c>
      <c r="E45" s="42" t="str">
        <f t="shared" si="0"/>
        <v>OFRECER</v>
      </c>
      <c r="F45" s="41">
        <f t="shared" si="1"/>
        <v>3667.3940754039504</v>
      </c>
    </row>
    <row r="46" spans="1:8" x14ac:dyDescent="0.25">
      <c r="A46" s="8" t="s">
        <v>119</v>
      </c>
      <c r="B46" s="10" t="s">
        <v>206</v>
      </c>
      <c r="C46" s="44">
        <f>INDEX(Terna_Proceso!O$27:O$34,MATCH("001",Terna_Proceso!$E$27:$E$34,0))</f>
        <v>3703.1043010752683</v>
      </c>
      <c r="D46" s="44">
        <f>INDEX(Terna_Proceso!O$27:O$34,MATCH("000",Terna_Proceso!$E$27:$E$34,0))</f>
        <v>-290.51935483871011</v>
      </c>
      <c r="E46" s="42" t="str">
        <f t="shared" si="0"/>
        <v>OFRECER</v>
      </c>
      <c r="F46" s="41">
        <f t="shared" si="1"/>
        <v>3993.6236559139784</v>
      </c>
    </row>
    <row r="47" spans="1:8" x14ac:dyDescent="0.25">
      <c r="A47" s="69" t="s">
        <v>207</v>
      </c>
      <c r="B47" s="69"/>
      <c r="C47" s="69"/>
      <c r="D47" s="69"/>
      <c r="E47" s="43" t="str">
        <f>IF(COUNTIF(E35:E46,"OFRECER")=COUNTA(E35:E46),"SÍ","NO")</f>
        <v>SÍ</v>
      </c>
    </row>
    <row r="50" spans="1:8" x14ac:dyDescent="0.25">
      <c r="A50" s="5" t="s">
        <v>208</v>
      </c>
      <c r="B50" s="6"/>
      <c r="C50" s="6"/>
      <c r="D50" s="6"/>
      <c r="E50" s="6"/>
      <c r="F50" s="6"/>
      <c r="G50" s="6"/>
      <c r="H50" s="6"/>
    </row>
    <row r="51" spans="1:8" x14ac:dyDescent="0.25">
      <c r="A51" s="69" t="s">
        <v>209</v>
      </c>
      <c r="B51" s="69"/>
      <c r="C51" s="69"/>
      <c r="D51" s="69"/>
      <c r="E51" s="69"/>
      <c r="F51" s="69"/>
      <c r="G51" s="69"/>
      <c r="H51" s="69"/>
    </row>
    <row r="52" spans="1:8" ht="43.5" customHeight="1" x14ac:dyDescent="0.25">
      <c r="A52" s="70" t="str">
        <f>"Terna suma nula "&amp;INDEX(Terna_Proceso!Q$27:Q$34,MATCH("111",Terna_Proceso!$E$27:$E$34,0))&amp;" → Ana "&amp;IF(INDEX(Terna_Proceso!M$27:M$34,MATCH("111",Terna_Proceso!$E$27:$E$34,0))&gt;=0,"queda ","queda ")&amp;TEXT(ABS(INDEX(Terna_Proceso!M$27:M$34,MATCH("111",Terna_Proceso!$E$27:$E$34,0))),"#,##0")&amp;IF(INDEX(Terna_Proceso!M$27:M$34,MATCH("111",Terna_Proceso!$E$27:$E$34,0))&gt;=0," por encima"," por debajo")&amp;" de la media; Berry "&amp;TEXT(ABS(INDEX(Terna_Proceso!N$27:N$34,MATCH("111",Terna_Proceso!$E$27:$E$34,0))),"#,##0")&amp;IF(INDEX(Terna_Proceso!N$27:N$34,MATCH("111",Terna_Proceso!$E$27:$E$34,0))&gt;=0," por encima"," por debajo")&amp;"; Martina "&amp;TEXT(ABS(INDEX(Terna_Proceso!O$27:O$34,MATCH("111",Terna_Proceso!$E$27:$E$34,0))),"#,##0")&amp;IF(INDEX(Terna_Proceso!O$27:O$34,MATCH("111",Terna_Proceso!$E$27:$E$34,0))&gt;=0," por encima."," por debajo.")</f>
        <v>Terna suma nula (-162; 552; -390) → Ana queda 162 por debajo de la media; Berry 552 por encima; Martina 390 por debajo.</v>
      </c>
      <c r="B52" s="70"/>
      <c r="C52" s="70"/>
      <c r="D52" s="70"/>
      <c r="E52" s="70"/>
      <c r="F52" s="70"/>
      <c r="G52" s="70"/>
      <c r="H52" s="70"/>
    </row>
    <row r="53" spans="1:8" ht="43.5" customHeight="1" x14ac:dyDescent="0.25">
      <c r="A53" s="71" t="s">
        <v>210</v>
      </c>
      <c r="B53" s="71"/>
      <c r="C53" s="71"/>
      <c r="D53" s="71"/>
      <c r="E53" s="71"/>
      <c r="F53" s="71"/>
      <c r="G53" s="71"/>
      <c r="H53" s="71"/>
    </row>
    <row r="55" spans="1:8" x14ac:dyDescent="0.25">
      <c r="A55" s="69" t="s">
        <v>211</v>
      </c>
      <c r="B55" s="69"/>
      <c r="C55" s="69"/>
      <c r="D55" s="69"/>
      <c r="E55" s="69"/>
      <c r="F55" s="69"/>
      <c r="G55" s="69"/>
      <c r="H55" s="69"/>
    </row>
    <row r="56" spans="1:8" ht="43.5" customHeight="1" x14ac:dyDescent="0.25">
      <c r="A56" s="70" t="str">
        <f>"Terna suma nula "&amp;INDEX(Terna_Proceso!Q$27:Q$34,MATCH("011",Terna_Proceso!$E$27:$E$34,0))&amp;" → Ana "&amp;IF(INDEX(Terna_Proceso!M$27:M$34,MATCH("011",Terna_Proceso!$E$27:$E$34,0))&gt;=0,"queda ","queda ")&amp;TEXT(ABS(INDEX(Terna_Proceso!M$27:M$34,MATCH("011",Terna_Proceso!$E$27:$E$34,0))),"#,##0")&amp;IF(INDEX(Terna_Proceso!M$27:M$34,MATCH("011",Terna_Proceso!$E$27:$E$34,0))&gt;=0," por encima"," por debajo")&amp;" de la media; Berry "&amp;TEXT(ABS(INDEX(Terna_Proceso!N$27:N$34,MATCH("011",Terna_Proceso!$E$27:$E$34,0))),"#,##0")&amp;IF(INDEX(Terna_Proceso!N$27:N$34,MATCH("011",Terna_Proceso!$E$27:$E$34,0))&gt;=0," por encima"," por debajo")&amp;"; Martina "&amp;TEXT(ABS(INDEX(Terna_Proceso!O$27:O$34,MATCH("011",Terna_Proceso!$E$27:$E$34,0))),"#,##0")&amp;IF(INDEX(Terna_Proceso!O$27:O$34,MATCH("011",Terna_Proceso!$E$27:$E$34,0))&gt;=0," por encima."," por debajo.")</f>
        <v>Terna suma nula (-3,053; 1,673; 1,380) → Ana queda 3,053 por debajo de la media; Berry 1,673 por encima; Martina 1,380 por encima.</v>
      </c>
      <c r="B56" s="70"/>
      <c r="C56" s="70"/>
      <c r="D56" s="70"/>
      <c r="E56" s="70"/>
      <c r="F56" s="70"/>
      <c r="G56" s="70"/>
      <c r="H56" s="70"/>
    </row>
    <row r="57" spans="1:8" ht="43.5" customHeight="1" x14ac:dyDescent="0.25">
      <c r="A57" s="71" t="s">
        <v>212</v>
      </c>
      <c r="B57" s="71"/>
      <c r="C57" s="71"/>
      <c r="D57" s="71"/>
      <c r="E57" s="71"/>
      <c r="F57" s="71"/>
      <c r="G57" s="71"/>
      <c r="H57" s="71"/>
    </row>
    <row r="59" spans="1:8" x14ac:dyDescent="0.25">
      <c r="A59" s="69" t="s">
        <v>213</v>
      </c>
      <c r="B59" s="69"/>
      <c r="C59" s="69"/>
      <c r="D59" s="69"/>
      <c r="E59" s="69"/>
      <c r="F59" s="69"/>
      <c r="G59" s="69"/>
      <c r="H59" s="69"/>
    </row>
    <row r="60" spans="1:8" ht="43.5" customHeight="1" x14ac:dyDescent="0.25">
      <c r="A60" s="70" t="str">
        <f>"Terna suma nula "&amp;INDEX(Terna_Proceso!Q$27:Q$34,MATCH("000",Terna_Proceso!$E$27:$E$34,0))&amp;" → Ana "&amp;IF(INDEX(Terna_Proceso!M$27:M$34,MATCH("000",Terna_Proceso!$E$27:$E$34,0))&gt;=0,"queda ","queda ")&amp;TEXT(ABS(INDEX(Terna_Proceso!M$27:M$34,MATCH("000",Terna_Proceso!$E$27:$E$34,0))),"#,##0")&amp;IF(INDEX(Terna_Proceso!M$27:M$34,MATCH("000",Terna_Proceso!$E$27:$E$34,0))&gt;=0," por encima"," por debajo")&amp;" de la media; Berry "&amp;TEXT(ABS(INDEX(Terna_Proceso!N$27:N$34,MATCH("000",Terna_Proceso!$E$27:$E$34,0))),"#,##0")&amp;IF(INDEX(Terna_Proceso!N$27:N$34,MATCH("000",Terna_Proceso!$E$27:$E$34,0))&gt;=0," por encima"," por debajo")&amp;"; Martina "&amp;TEXT(ABS(INDEX(Terna_Proceso!O$27:O$34,MATCH("000",Terna_Proceso!$E$27:$E$34,0))),"#,##0")&amp;IF(INDEX(Terna_Proceso!O$27:O$34,MATCH("000",Terna_Proceso!$E$27:$E$34,0))&gt;=0," por encima."," por debajo.")</f>
        <v>Terna suma nula (-1,056; 1,347; -291) → Ana queda 1,056 por debajo de la media; Berry 1,347 por encima; Martina 291 por debajo.</v>
      </c>
      <c r="B60" s="70"/>
      <c r="C60" s="70"/>
      <c r="D60" s="70"/>
      <c r="E60" s="70"/>
      <c r="F60" s="70"/>
      <c r="G60" s="70"/>
      <c r="H60" s="70"/>
    </row>
    <row r="61" spans="1:8" ht="43.5" customHeight="1" x14ac:dyDescent="0.25">
      <c r="A61" s="71" t="s">
        <v>214</v>
      </c>
      <c r="B61" s="71"/>
      <c r="C61" s="71"/>
      <c r="D61" s="71"/>
      <c r="E61" s="71"/>
      <c r="F61" s="71"/>
      <c r="G61" s="71"/>
      <c r="H61" s="71"/>
    </row>
  </sheetData>
  <mergeCells count="38">
    <mergeCell ref="A60:H60"/>
    <mergeCell ref="A61:H61"/>
    <mergeCell ref="A53:H53"/>
    <mergeCell ref="A55:H55"/>
    <mergeCell ref="A56:H56"/>
    <mergeCell ref="A57:H57"/>
    <mergeCell ref="A59:H59"/>
    <mergeCell ref="B30:C30"/>
    <mergeCell ref="D30:E30"/>
    <mergeCell ref="A47:D47"/>
    <mergeCell ref="A51:H51"/>
    <mergeCell ref="A52:H52"/>
    <mergeCell ref="A27:E27"/>
    <mergeCell ref="B28:C28"/>
    <mergeCell ref="D28:E28"/>
    <mergeCell ref="B29:C29"/>
    <mergeCell ref="D29:E29"/>
    <mergeCell ref="B22:C22"/>
    <mergeCell ref="D22:E22"/>
    <mergeCell ref="B23:C23"/>
    <mergeCell ref="D23:E23"/>
    <mergeCell ref="B24:C24"/>
    <mergeCell ref="D24:E24"/>
    <mergeCell ref="B15:C15"/>
    <mergeCell ref="D15:E15"/>
    <mergeCell ref="B16:C16"/>
    <mergeCell ref="D16:E16"/>
    <mergeCell ref="A21:E21"/>
    <mergeCell ref="B10:C10"/>
    <mergeCell ref="D10:E10"/>
    <mergeCell ref="A13:E13"/>
    <mergeCell ref="B14:C14"/>
    <mergeCell ref="D14:E14"/>
    <mergeCell ref="A7:E7"/>
    <mergeCell ref="B8:C8"/>
    <mergeCell ref="D8:E8"/>
    <mergeCell ref="B9:C9"/>
    <mergeCell ref="D9:E9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K48"/>
  <sheetViews>
    <sheetView showGridLines="0" zoomScaleNormal="100" workbookViewId="0">
      <pane ySplit="10" topLeftCell="A11" activePane="bottomLeft" state="frozen"/>
      <selection pane="bottomLeft"/>
    </sheetView>
  </sheetViews>
  <sheetFormatPr baseColWidth="10" defaultColWidth="8.7109375" defaultRowHeight="15" x14ac:dyDescent="0.25"/>
  <cols>
    <col min="1" max="1" width="26" customWidth="1"/>
    <col min="2" max="3" width="12" customWidth="1"/>
    <col min="4" max="11" width="13" customWidth="1"/>
  </cols>
  <sheetData>
    <row r="1" spans="1:11" ht="18" x14ac:dyDescent="0.25">
      <c r="A1" s="1" t="s">
        <v>215</v>
      </c>
    </row>
    <row r="2" spans="1:11" x14ac:dyDescent="0.25">
      <c r="A2" s="2" t="s">
        <v>216</v>
      </c>
    </row>
    <row r="4" spans="1:11" ht="54" customHeight="1" x14ac:dyDescent="0.25">
      <c r="A4" s="3" t="s">
        <v>217</v>
      </c>
      <c r="B4" s="4" t="str">
        <f>Datos_3J!B5</f>
        <v>Cerveza</v>
      </c>
      <c r="E4" s="65" t="s">
        <v>218</v>
      </c>
      <c r="F4" s="65"/>
      <c r="G4" s="65"/>
      <c r="H4" s="65"/>
      <c r="I4" s="65"/>
      <c r="J4" s="65"/>
      <c r="K4" s="65"/>
    </row>
    <row r="5" spans="1:11" x14ac:dyDescent="0.25">
      <c r="A5" s="3" t="s">
        <v>219</v>
      </c>
      <c r="B5" s="19">
        <f>INDEX(Datos_3J!B20:B26,Datos_3J!B6)</f>
        <v>5.5</v>
      </c>
    </row>
    <row r="6" spans="1:11" x14ac:dyDescent="0.25">
      <c r="A6" s="3" t="s">
        <v>220</v>
      </c>
      <c r="B6" s="19">
        <f>INDEX(Datos_3J!C20:C26,Datos_3J!B6)</f>
        <v>6.3</v>
      </c>
    </row>
    <row r="7" spans="1:11" x14ac:dyDescent="0.25">
      <c r="A7" s="3" t="s">
        <v>221</v>
      </c>
      <c r="B7" s="19">
        <f>INDEX(Datos_3J!B10:B16,Datos_3J!B6)</f>
        <v>7</v>
      </c>
      <c r="C7" s="19">
        <f>INDEX(Datos_3J!C10:C16,Datos_3J!B6)</f>
        <v>9</v>
      </c>
    </row>
    <row r="9" spans="1:11" x14ac:dyDescent="0.25">
      <c r="A9" s="5" t="s">
        <v>222</v>
      </c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 ht="33.75" customHeight="1" x14ac:dyDescent="0.25">
      <c r="A10" s="7" t="s">
        <v>105</v>
      </c>
      <c r="B10" s="7" t="s">
        <v>223</v>
      </c>
      <c r="C10" s="7" t="s">
        <v>224</v>
      </c>
      <c r="D10" s="7" t="s">
        <v>225</v>
      </c>
      <c r="E10" s="7" t="s">
        <v>226</v>
      </c>
      <c r="F10" s="7" t="s">
        <v>227</v>
      </c>
      <c r="G10" s="7" t="s">
        <v>228</v>
      </c>
      <c r="H10" s="7" t="s">
        <v>229</v>
      </c>
      <c r="I10" s="7" t="s">
        <v>230</v>
      </c>
      <c r="J10" s="7" t="s">
        <v>231</v>
      </c>
      <c r="K10" s="7" t="s">
        <v>232</v>
      </c>
    </row>
    <row r="11" spans="1:11" x14ac:dyDescent="0.25">
      <c r="A11" s="27">
        <v>1</v>
      </c>
      <c r="B11" s="45">
        <f>Ventas_Ana!B14</f>
        <v>45836</v>
      </c>
      <c r="C11" s="45">
        <f>Ventas_Berry!B14</f>
        <v>46235</v>
      </c>
      <c r="D11" s="46">
        <f>INDEX(Ventas_Ana!D14:J14,Datos_3J!$B$6)</f>
        <v>16</v>
      </c>
      <c r="E11" s="46">
        <f>INDEX(Ventas_Berry!D14:J14,Datos_3J!$B$6)</f>
        <v>4</v>
      </c>
      <c r="F11" s="30">
        <v>6.5</v>
      </c>
      <c r="G11" s="30">
        <v>9.5</v>
      </c>
      <c r="H11" s="31">
        <f t="shared" ref="H11:H40" si="0">(F11-$B$5)*D11</f>
        <v>16</v>
      </c>
      <c r="I11" s="31">
        <f t="shared" ref="I11:I40" si="1">(G11-$B$6)*E11</f>
        <v>12.8</v>
      </c>
      <c r="J11" s="19">
        <f>Regresión!$E$38+Regresión!$E$39*D11+Regresión!$E$40*E11</f>
        <v>6.9289190765401205</v>
      </c>
      <c r="K11" s="19">
        <f>Regresión!$L$38+Regresión!$L$39*E11+Regresión!$L$40*D11</f>
        <v>9.0379552518465118</v>
      </c>
    </row>
    <row r="12" spans="1:11" x14ac:dyDescent="0.25">
      <c r="A12" s="27">
        <v>2</v>
      </c>
      <c r="B12" s="45">
        <f>Ventas_Ana!B15</f>
        <v>45837</v>
      </c>
      <c r="C12" s="45">
        <f>Ventas_Berry!B15</f>
        <v>46236</v>
      </c>
      <c r="D12" s="46">
        <f>INDEX(Ventas_Ana!D15:J15,Datos_3J!$B$6)</f>
        <v>20</v>
      </c>
      <c r="E12" s="46">
        <f>INDEX(Ventas_Berry!D15:J15,Datos_3J!$B$6)</f>
        <v>1</v>
      </c>
      <c r="F12" s="30">
        <v>7</v>
      </c>
      <c r="G12" s="30">
        <v>9.5</v>
      </c>
      <c r="H12" s="31">
        <f t="shared" si="0"/>
        <v>30</v>
      </c>
      <c r="I12" s="31">
        <f t="shared" si="1"/>
        <v>3.2</v>
      </c>
      <c r="J12" s="19">
        <f>Regresión!$E$38+Regresión!$E$39*D12+Regresión!$E$40*E12</f>
        <v>6.8447008855094733</v>
      </c>
      <c r="K12" s="19">
        <f>Regresión!$L$38+Regresión!$L$39*E12+Regresión!$L$40*D12</f>
        <v>9.5172004434348523</v>
      </c>
    </row>
    <row r="13" spans="1:11" x14ac:dyDescent="0.25">
      <c r="A13" s="27">
        <v>3</v>
      </c>
      <c r="B13" s="45">
        <f>Ventas_Ana!B16</f>
        <v>45838</v>
      </c>
      <c r="C13" s="45">
        <f>Ventas_Berry!B16</f>
        <v>46237</v>
      </c>
      <c r="D13" s="46">
        <f>INDEX(Ventas_Ana!D16:J16,Datos_3J!$B$6)</f>
        <v>7</v>
      </c>
      <c r="E13" s="46">
        <f>INDEX(Ventas_Berry!D16:J16,Datos_3J!$B$6)</f>
        <v>5</v>
      </c>
      <c r="F13" s="30">
        <v>7.5</v>
      </c>
      <c r="G13" s="30">
        <v>10</v>
      </c>
      <c r="H13" s="31">
        <f t="shared" si="0"/>
        <v>14</v>
      </c>
      <c r="I13" s="31">
        <f t="shared" si="1"/>
        <v>18.5</v>
      </c>
      <c r="J13" s="19">
        <f>Regresión!$E$38+Regresión!$E$39*D13+Regresión!$E$40*E13</f>
        <v>7.5072347212209429</v>
      </c>
      <c r="K13" s="19">
        <f>Regresión!$L$38+Regresión!$L$39*E13+Regresión!$L$40*D13</f>
        <v>9.4437534855883669</v>
      </c>
    </row>
    <row r="14" spans="1:11" x14ac:dyDescent="0.25">
      <c r="A14" s="27">
        <v>4</v>
      </c>
      <c r="B14" s="45">
        <f>Ventas_Ana!B17</f>
        <v>45839</v>
      </c>
      <c r="C14" s="45">
        <f>Ventas_Berry!B17</f>
        <v>46238</v>
      </c>
      <c r="D14" s="46">
        <f>INDEX(Ventas_Ana!D17:J17,Datos_3J!$B$6)</f>
        <v>9</v>
      </c>
      <c r="E14" s="46">
        <f>INDEX(Ventas_Berry!D17:J17,Datos_3J!$B$6)</f>
        <v>5</v>
      </c>
      <c r="F14" s="30">
        <v>7.5</v>
      </c>
      <c r="G14" s="30">
        <v>9</v>
      </c>
      <c r="H14" s="31">
        <f t="shared" si="0"/>
        <v>18</v>
      </c>
      <c r="I14" s="31">
        <f t="shared" si="1"/>
        <v>13.5</v>
      </c>
      <c r="J14" s="19">
        <f>Regresión!$E$38+Regresión!$E$39*D14+Regresión!$E$40*E14</f>
        <v>7.3636930913938272</v>
      </c>
      <c r="K14" s="19">
        <f>Regresión!$L$38+Regresión!$L$39*E14+Regresión!$L$40*D14</f>
        <v>9.2962195818654187</v>
      </c>
    </row>
    <row r="15" spans="1:11" x14ac:dyDescent="0.25">
      <c r="A15" s="27">
        <v>5</v>
      </c>
      <c r="B15" s="45">
        <f>Ventas_Ana!B18</f>
        <v>45840</v>
      </c>
      <c r="C15" s="45">
        <f>Ventas_Berry!B18</f>
        <v>46239</v>
      </c>
      <c r="D15" s="46">
        <f>INDEX(Ventas_Ana!D18:J18,Datos_3J!$B$6)</f>
        <v>6</v>
      </c>
      <c r="E15" s="46">
        <f>INDEX(Ventas_Berry!D18:J18,Datos_3J!$B$6)</f>
        <v>5</v>
      </c>
      <c r="F15" s="30">
        <v>7.5</v>
      </c>
      <c r="G15" s="30">
        <v>8.5</v>
      </c>
      <c r="H15" s="31">
        <f t="shared" si="0"/>
        <v>12</v>
      </c>
      <c r="I15" s="31">
        <f t="shared" si="1"/>
        <v>11</v>
      </c>
      <c r="J15" s="19">
        <f>Regresión!$E$38+Regresión!$E$39*D15+Regresión!$E$40*E15</f>
        <v>7.5790055361345008</v>
      </c>
      <c r="K15" s="19">
        <f>Regresión!$L$38+Regresión!$L$39*E15+Regresión!$L$40*D15</f>
        <v>9.517520437449841</v>
      </c>
    </row>
    <row r="16" spans="1:11" x14ac:dyDescent="0.25">
      <c r="A16" s="27">
        <v>6</v>
      </c>
      <c r="B16" s="45">
        <f>Ventas_Ana!B19</f>
        <v>45841</v>
      </c>
      <c r="C16" s="45">
        <f>Ventas_Berry!B19</f>
        <v>46240</v>
      </c>
      <c r="D16" s="46">
        <f>INDEX(Ventas_Ana!D19:J19,Datos_3J!$B$6)</f>
        <v>11</v>
      </c>
      <c r="E16" s="46">
        <f>INDEX(Ventas_Berry!D19:J19,Datos_3J!$B$6)</f>
        <v>6</v>
      </c>
      <c r="F16" s="30">
        <v>7.5</v>
      </c>
      <c r="G16" s="30">
        <v>9</v>
      </c>
      <c r="H16" s="31">
        <f t="shared" si="0"/>
        <v>22</v>
      </c>
      <c r="I16" s="31">
        <f t="shared" si="1"/>
        <v>16.200000000000003</v>
      </c>
      <c r="J16" s="19">
        <f>Regresión!$E$38+Regresión!$E$39*D16+Regresión!$E$40*E16</f>
        <v>7.1525297720255185</v>
      </c>
      <c r="K16" s="19">
        <f>Regresión!$L$38+Regresión!$L$39*E16+Regresión!$L$40*D16</f>
        <v>8.8905813451310571</v>
      </c>
    </row>
    <row r="17" spans="1:11" x14ac:dyDescent="0.25">
      <c r="A17" s="27">
        <v>7</v>
      </c>
      <c r="B17" s="45">
        <f>Ventas_Ana!B20</f>
        <v>45842</v>
      </c>
      <c r="C17" s="45">
        <f>Ventas_Berry!B20</f>
        <v>46241</v>
      </c>
      <c r="D17" s="46">
        <f>INDEX(Ventas_Ana!D20:J20,Datos_3J!$B$6)</f>
        <v>10</v>
      </c>
      <c r="E17" s="46">
        <f>INDEX(Ventas_Berry!D20:J20,Datos_3J!$B$6)</f>
        <v>5</v>
      </c>
      <c r="F17" s="30">
        <v>7.5</v>
      </c>
      <c r="G17" s="30">
        <v>9.5</v>
      </c>
      <c r="H17" s="31">
        <f t="shared" si="0"/>
        <v>20</v>
      </c>
      <c r="I17" s="31">
        <f t="shared" si="1"/>
        <v>16</v>
      </c>
      <c r="J17" s="19">
        <f>Regresión!$E$38+Regresión!$E$39*D17+Regresión!$E$40*E17</f>
        <v>7.2919222764802711</v>
      </c>
      <c r="K17" s="19">
        <f>Regresión!$L$38+Regresión!$L$39*E17+Regresión!$L$40*D17</f>
        <v>9.2224526300039447</v>
      </c>
    </row>
    <row r="18" spans="1:11" x14ac:dyDescent="0.25">
      <c r="A18" s="27">
        <v>8</v>
      </c>
      <c r="B18" s="45">
        <f>Ventas_Ana!B21</f>
        <v>45843</v>
      </c>
      <c r="C18" s="45">
        <f>Ventas_Berry!B21</f>
        <v>46242</v>
      </c>
      <c r="D18" s="46">
        <f>INDEX(Ventas_Ana!D21:J21,Datos_3J!$B$6)</f>
        <v>14</v>
      </c>
      <c r="E18" s="46">
        <f>INDEX(Ventas_Berry!D21:J21,Datos_3J!$B$6)</f>
        <v>1</v>
      </c>
      <c r="F18" s="30">
        <v>7.5</v>
      </c>
      <c r="G18" s="30">
        <v>10</v>
      </c>
      <c r="H18" s="31">
        <f t="shared" si="0"/>
        <v>28</v>
      </c>
      <c r="I18" s="31">
        <f t="shared" si="1"/>
        <v>3.7</v>
      </c>
      <c r="J18" s="19">
        <f>Regresión!$E$38+Regresión!$E$39*D18+Regresión!$E$40*E18</f>
        <v>7.2753257749908187</v>
      </c>
      <c r="K18" s="19">
        <f>Regresión!$L$38+Regresión!$L$39*E18+Regresión!$L$40*D18</f>
        <v>9.9598021546036986</v>
      </c>
    </row>
    <row r="19" spans="1:11" x14ac:dyDescent="0.25">
      <c r="A19" s="27">
        <v>9</v>
      </c>
      <c r="B19" s="45">
        <f>Ventas_Ana!B22</f>
        <v>45844</v>
      </c>
      <c r="C19" s="45">
        <f>Ventas_Berry!B22</f>
        <v>46243</v>
      </c>
      <c r="D19" s="46">
        <f>INDEX(Ventas_Ana!D22:J22,Datos_3J!$B$6)</f>
        <v>26</v>
      </c>
      <c r="E19" s="46">
        <f>INDEX(Ventas_Berry!D22:J22,Datos_3J!$B$6)</f>
        <v>7</v>
      </c>
      <c r="F19" s="30">
        <v>6</v>
      </c>
      <c r="G19" s="30">
        <v>7.5</v>
      </c>
      <c r="H19" s="31">
        <f t="shared" si="0"/>
        <v>13</v>
      </c>
      <c r="I19" s="31">
        <f t="shared" si="1"/>
        <v>8.4000000000000021</v>
      </c>
      <c r="J19" s="19">
        <f>Regresión!$E$38+Regresión!$E$39*D19+Regresión!$E$40*E19</f>
        <v>6.0083458587809631</v>
      </c>
      <c r="K19" s="19">
        <f>Regresión!$L$38+Regresión!$L$39*E19+Regresión!$L$40*D19</f>
        <v>7.5259727341975315</v>
      </c>
    </row>
    <row r="20" spans="1:11" x14ac:dyDescent="0.25">
      <c r="A20" s="27">
        <v>10</v>
      </c>
      <c r="B20" s="45">
        <f>Ventas_Ana!B23</f>
        <v>45845</v>
      </c>
      <c r="C20" s="45">
        <f>Ventas_Berry!B23</f>
        <v>46244</v>
      </c>
      <c r="D20" s="46">
        <f>INDEX(Ventas_Ana!D23:J23,Datos_3J!$B$6)</f>
        <v>12</v>
      </c>
      <c r="E20" s="46">
        <f>INDEX(Ventas_Berry!D23:J23,Datos_3J!$B$6)</f>
        <v>8</v>
      </c>
      <c r="F20" s="30">
        <v>7</v>
      </c>
      <c r="G20" s="30">
        <v>8</v>
      </c>
      <c r="H20" s="31">
        <f t="shared" si="0"/>
        <v>18</v>
      </c>
      <c r="I20" s="31">
        <f t="shared" si="1"/>
        <v>13.600000000000001</v>
      </c>
      <c r="J20" s="19">
        <f>Regresión!$E$38+Regresión!$E$39*D20+Regresión!$E$40*E20</f>
        <v>6.945515578029573</v>
      </c>
      <c r="K20" s="19">
        <f>Regresión!$L$38+Regresión!$L$39*E20+Regresión!$L$40*D20</f>
        <v>8.3006057272467579</v>
      </c>
    </row>
    <row r="21" spans="1:11" x14ac:dyDescent="0.25">
      <c r="A21" s="27">
        <v>11</v>
      </c>
      <c r="B21" s="45">
        <f>Ventas_Ana!B24</f>
        <v>45846</v>
      </c>
      <c r="C21" s="45">
        <f>Ventas_Berry!B24</f>
        <v>46245</v>
      </c>
      <c r="D21" s="46">
        <f>INDEX(Ventas_Ana!D24:J24,Datos_3J!$B$6)</f>
        <v>6</v>
      </c>
      <c r="E21" s="46">
        <f>INDEX(Ventas_Berry!D24:J24,Datos_3J!$B$6)</f>
        <v>4</v>
      </c>
      <c r="F21" s="30">
        <v>7.5</v>
      </c>
      <c r="G21" s="30">
        <v>10</v>
      </c>
      <c r="H21" s="31">
        <f t="shared" si="0"/>
        <v>12</v>
      </c>
      <c r="I21" s="31">
        <f t="shared" si="1"/>
        <v>14.8</v>
      </c>
      <c r="J21" s="19">
        <f>Regresión!$E$38+Regresión!$E$39*D21+Regresión!$E$40*E21</f>
        <v>7.6466272256756946</v>
      </c>
      <c r="K21" s="19">
        <f>Regresión!$L$38+Regresión!$L$39*E21+Regresión!$L$40*D21</f>
        <v>9.7756247704612544</v>
      </c>
    </row>
    <row r="22" spans="1:11" x14ac:dyDescent="0.25">
      <c r="A22" s="27">
        <v>12</v>
      </c>
      <c r="B22" s="45">
        <f>Ventas_Ana!B25</f>
        <v>45847</v>
      </c>
      <c r="C22" s="45">
        <f>Ventas_Berry!B25</f>
        <v>46246</v>
      </c>
      <c r="D22" s="46">
        <f>INDEX(Ventas_Ana!D25:J25,Datos_3J!$B$6)</f>
        <v>8</v>
      </c>
      <c r="E22" s="46">
        <f>INDEX(Ventas_Berry!D25:J25,Datos_3J!$B$6)</f>
        <v>2</v>
      </c>
      <c r="F22" s="30">
        <v>8</v>
      </c>
      <c r="G22" s="30">
        <v>10.5</v>
      </c>
      <c r="H22" s="31">
        <f t="shared" si="0"/>
        <v>20</v>
      </c>
      <c r="I22" s="31">
        <f t="shared" si="1"/>
        <v>8.4</v>
      </c>
      <c r="J22" s="19">
        <f>Regresión!$E$38+Regresión!$E$39*D22+Regresión!$E$40*E22</f>
        <v>7.6383289749309684</v>
      </c>
      <c r="K22" s="19">
        <f>Regresión!$L$38+Regresión!$L$39*E22+Regresión!$L$40*D22</f>
        <v>10.144299532761131</v>
      </c>
    </row>
    <row r="23" spans="1:11" x14ac:dyDescent="0.25">
      <c r="A23" s="27">
        <v>13</v>
      </c>
      <c r="B23" s="45">
        <f>Ventas_Ana!B26</f>
        <v>45848</v>
      </c>
      <c r="C23" s="45">
        <f>Ventas_Berry!B26</f>
        <v>46247</v>
      </c>
      <c r="D23" s="46">
        <f>INDEX(Ventas_Ana!D26:J26,Datos_3J!$B$6)</f>
        <v>3</v>
      </c>
      <c r="E23" s="46">
        <f>INDEX(Ventas_Berry!D26:J26,Datos_3J!$B$6)</f>
        <v>2</v>
      </c>
      <c r="F23" s="30">
        <v>8</v>
      </c>
      <c r="G23" s="30">
        <v>10.5</v>
      </c>
      <c r="H23" s="31">
        <f t="shared" si="0"/>
        <v>7.5</v>
      </c>
      <c r="I23" s="31">
        <f t="shared" si="1"/>
        <v>8.4</v>
      </c>
      <c r="J23" s="19">
        <f>Regresión!$E$38+Regresión!$E$39*D23+Regresión!$E$40*E23</f>
        <v>7.9971830494987559</v>
      </c>
      <c r="K23" s="19">
        <f>Regresión!$L$38+Regresión!$L$39*E23+Regresión!$L$40*D23</f>
        <v>10.513134292068504</v>
      </c>
    </row>
    <row r="24" spans="1:11" x14ac:dyDescent="0.25">
      <c r="A24" s="27">
        <v>14</v>
      </c>
      <c r="B24" s="45">
        <f>Ventas_Ana!B27</f>
        <v>45849</v>
      </c>
      <c r="C24" s="45">
        <f>Ventas_Berry!B27</f>
        <v>46248</v>
      </c>
      <c r="D24" s="46">
        <f>INDEX(Ventas_Ana!D27:J27,Datos_3J!$B$6)</f>
        <v>7</v>
      </c>
      <c r="E24" s="46">
        <f>INDEX(Ventas_Berry!D27:J27,Datos_3J!$B$6)</f>
        <v>2</v>
      </c>
      <c r="F24" s="30">
        <v>7</v>
      </c>
      <c r="G24" s="30">
        <v>10</v>
      </c>
      <c r="H24" s="31">
        <f t="shared" si="0"/>
        <v>10.5</v>
      </c>
      <c r="I24" s="31">
        <f t="shared" si="1"/>
        <v>7.4</v>
      </c>
      <c r="J24" s="19">
        <f>Regresión!$E$38+Regresión!$E$39*D24+Regresión!$E$40*E24</f>
        <v>7.7100997898445254</v>
      </c>
      <c r="K24" s="19">
        <f>Regresión!$L$38+Regresión!$L$39*E24+Regresión!$L$40*D24</f>
        <v>10.218066484622605</v>
      </c>
    </row>
    <row r="25" spans="1:11" x14ac:dyDescent="0.25">
      <c r="A25" s="27">
        <v>15</v>
      </c>
      <c r="B25" s="45">
        <f>Ventas_Ana!B28</f>
        <v>45850</v>
      </c>
      <c r="C25" s="45">
        <f>Ventas_Berry!B28</f>
        <v>46249</v>
      </c>
      <c r="D25" s="46">
        <f>INDEX(Ventas_Ana!D28:J28,Datos_3J!$B$6)</f>
        <v>21</v>
      </c>
      <c r="E25" s="46">
        <f>INDEX(Ventas_Berry!D28:J28,Datos_3J!$B$6)</f>
        <v>2</v>
      </c>
      <c r="F25" s="30">
        <v>7</v>
      </c>
      <c r="G25" s="30">
        <v>9</v>
      </c>
      <c r="H25" s="31">
        <f t="shared" si="0"/>
        <v>31.5</v>
      </c>
      <c r="I25" s="31">
        <f t="shared" si="1"/>
        <v>5.4</v>
      </c>
      <c r="J25" s="19">
        <f>Regresión!$E$38+Regresión!$E$39*D25+Regresión!$E$40*E25</f>
        <v>6.7053083810547216</v>
      </c>
      <c r="K25" s="19">
        <f>Regresión!$L$38+Regresión!$L$39*E25+Regresión!$L$40*D25</f>
        <v>9.1853291585619665</v>
      </c>
    </row>
    <row r="26" spans="1:11" x14ac:dyDescent="0.25">
      <c r="A26" s="27">
        <v>16</v>
      </c>
      <c r="B26" s="45">
        <f>Ventas_Ana!B29</f>
        <v>45851</v>
      </c>
      <c r="C26" s="45">
        <f>Ventas_Berry!B29</f>
        <v>46250</v>
      </c>
      <c r="D26" s="46">
        <f>INDEX(Ventas_Ana!D29:J29,Datos_3J!$B$6)</f>
        <v>29</v>
      </c>
      <c r="E26" s="46">
        <f>INDEX(Ventas_Berry!D29:J29,Datos_3J!$B$6)</f>
        <v>8</v>
      </c>
      <c r="F26" s="30">
        <v>6</v>
      </c>
      <c r="G26" s="30">
        <v>7.5</v>
      </c>
      <c r="H26" s="31">
        <f t="shared" si="0"/>
        <v>14.5</v>
      </c>
      <c r="I26" s="31">
        <f t="shared" si="1"/>
        <v>9.6000000000000014</v>
      </c>
      <c r="J26" s="19">
        <f>Regresión!$E$38+Regresión!$E$39*D26+Regresión!$E$40*E26</f>
        <v>5.7254117244990965</v>
      </c>
      <c r="K26" s="19">
        <f>Regresión!$L$38+Regresión!$L$39*E26+Regresión!$L$40*D26</f>
        <v>7.046567545601695</v>
      </c>
    </row>
    <row r="27" spans="1:11" x14ac:dyDescent="0.25">
      <c r="A27" s="27">
        <v>17</v>
      </c>
      <c r="B27" s="45">
        <f>Ventas_Ana!B30</f>
        <v>45852</v>
      </c>
      <c r="C27" s="45">
        <f>Ventas_Berry!B30</f>
        <v>46251</v>
      </c>
      <c r="D27" s="46">
        <f>INDEX(Ventas_Ana!D30:J30,Datos_3J!$B$6)</f>
        <v>15</v>
      </c>
      <c r="E27" s="46">
        <f>INDEX(Ventas_Berry!D30:J30,Datos_3J!$B$6)</f>
        <v>6</v>
      </c>
      <c r="F27" s="30">
        <v>6.5</v>
      </c>
      <c r="G27" s="30">
        <v>9.5</v>
      </c>
      <c r="H27" s="31">
        <f t="shared" si="0"/>
        <v>15</v>
      </c>
      <c r="I27" s="31">
        <f t="shared" si="1"/>
        <v>19.200000000000003</v>
      </c>
      <c r="J27" s="19">
        <f>Regresión!$E$38+Regresión!$E$39*D27+Regresión!$E$40*E27</f>
        <v>6.8654465123712889</v>
      </c>
      <c r="K27" s="19">
        <f>Regresión!$L$38+Regresión!$L$39*E27+Regresión!$L$40*D27</f>
        <v>8.5955135376851608</v>
      </c>
    </row>
    <row r="28" spans="1:11" x14ac:dyDescent="0.25">
      <c r="A28" s="27">
        <v>18</v>
      </c>
      <c r="B28" s="45">
        <f>Ventas_Ana!B31</f>
        <v>45853</v>
      </c>
      <c r="C28" s="45">
        <f>Ventas_Berry!B31</f>
        <v>46252</v>
      </c>
      <c r="D28" s="46">
        <f>INDEX(Ventas_Ana!D31:J31,Datos_3J!$B$6)</f>
        <v>10</v>
      </c>
      <c r="E28" s="46">
        <f>INDEX(Ventas_Berry!D31:J31,Datos_3J!$B$6)</f>
        <v>8</v>
      </c>
      <c r="F28" s="30">
        <v>7</v>
      </c>
      <c r="G28" s="30">
        <v>8</v>
      </c>
      <c r="H28" s="31">
        <f t="shared" si="0"/>
        <v>15</v>
      </c>
      <c r="I28" s="31">
        <f t="shared" si="1"/>
        <v>13.600000000000001</v>
      </c>
      <c r="J28" s="19">
        <f>Regresión!$E$38+Regresión!$E$39*D28+Regresión!$E$40*E28</f>
        <v>7.0890572078566878</v>
      </c>
      <c r="K28" s="19">
        <f>Regresión!$L$38+Regresión!$L$39*E28+Regresión!$L$40*D28</f>
        <v>8.4481396309697061</v>
      </c>
    </row>
    <row r="29" spans="1:11" x14ac:dyDescent="0.25">
      <c r="A29" s="27">
        <v>19</v>
      </c>
      <c r="B29" s="45">
        <f>Ventas_Ana!B32</f>
        <v>45854</v>
      </c>
      <c r="C29" s="45">
        <f>Ventas_Berry!B32</f>
        <v>46253</v>
      </c>
      <c r="D29" s="46">
        <f>INDEX(Ventas_Ana!D32:J32,Datos_3J!$B$6)</f>
        <v>13</v>
      </c>
      <c r="E29" s="46">
        <f>INDEX(Ventas_Berry!D32:J32,Datos_3J!$B$6)</f>
        <v>4</v>
      </c>
      <c r="F29" s="30">
        <v>7</v>
      </c>
      <c r="G29" s="30">
        <v>10</v>
      </c>
      <c r="H29" s="31">
        <f t="shared" si="0"/>
        <v>19.5</v>
      </c>
      <c r="I29" s="31">
        <f t="shared" si="1"/>
        <v>14.8</v>
      </c>
      <c r="J29" s="19">
        <f>Regresión!$E$38+Regresión!$E$39*D29+Regresión!$E$40*E29</f>
        <v>7.1442315212807923</v>
      </c>
      <c r="K29" s="19">
        <f>Regresión!$L$38+Regresión!$L$39*E29+Regresión!$L$40*D29</f>
        <v>9.2592561074309359</v>
      </c>
    </row>
    <row r="30" spans="1:11" x14ac:dyDescent="0.25">
      <c r="A30" s="27">
        <v>20</v>
      </c>
      <c r="B30" s="45">
        <f>Ventas_Ana!B33</f>
        <v>45855</v>
      </c>
      <c r="C30" s="45">
        <f>Ventas_Berry!B33</f>
        <v>46254</v>
      </c>
      <c r="D30" s="46">
        <f>INDEX(Ventas_Ana!D33:J33,Datos_3J!$B$6)</f>
        <v>8</v>
      </c>
      <c r="E30" s="46">
        <f>INDEX(Ventas_Berry!D33:J33,Datos_3J!$B$6)</f>
        <v>2</v>
      </c>
      <c r="F30" s="30">
        <v>8</v>
      </c>
      <c r="G30" s="30">
        <v>10.5</v>
      </c>
      <c r="H30" s="31">
        <f t="shared" si="0"/>
        <v>20</v>
      </c>
      <c r="I30" s="31">
        <f t="shared" si="1"/>
        <v>8.4</v>
      </c>
      <c r="J30" s="19">
        <f>Regresión!$E$38+Regresión!$E$39*D30+Regresión!$E$40*E30</f>
        <v>7.6383289749309684</v>
      </c>
      <c r="K30" s="19">
        <f>Regresión!$L$38+Regresión!$L$39*E30+Regresión!$L$40*D30</f>
        <v>10.144299532761131</v>
      </c>
    </row>
    <row r="31" spans="1:11" x14ac:dyDescent="0.25">
      <c r="A31" s="27">
        <v>21</v>
      </c>
      <c r="B31" s="45">
        <f>Ventas_Ana!B34</f>
        <v>45856</v>
      </c>
      <c r="C31" s="45">
        <f>Ventas_Berry!B34</f>
        <v>46255</v>
      </c>
      <c r="D31" s="46">
        <f>INDEX(Ventas_Ana!D34:J34,Datos_3J!$B$6)</f>
        <v>10</v>
      </c>
      <c r="E31" s="46">
        <f>INDEX(Ventas_Berry!D34:J34,Datos_3J!$B$6)</f>
        <v>7</v>
      </c>
      <c r="F31" s="30">
        <v>8</v>
      </c>
      <c r="G31" s="30">
        <v>8.5</v>
      </c>
      <c r="H31" s="31">
        <f t="shared" si="0"/>
        <v>25</v>
      </c>
      <c r="I31" s="31">
        <f t="shared" si="1"/>
        <v>15.400000000000002</v>
      </c>
      <c r="J31" s="19">
        <f>Regresión!$E$38+Regresión!$E$39*D31+Regresión!$E$40*E31</f>
        <v>7.1566788973978817</v>
      </c>
      <c r="K31" s="19">
        <f>Regresión!$L$38+Regresión!$L$39*E31+Regresión!$L$40*D31</f>
        <v>8.7062439639811195</v>
      </c>
    </row>
    <row r="32" spans="1:11" x14ac:dyDescent="0.25">
      <c r="A32" s="27">
        <v>22</v>
      </c>
      <c r="B32" s="45">
        <f>Ventas_Ana!B35</f>
        <v>45857</v>
      </c>
      <c r="C32" s="45">
        <f>Ventas_Berry!B35</f>
        <v>46256</v>
      </c>
      <c r="D32" s="46">
        <f>INDEX(Ventas_Ana!D35:J35,Datos_3J!$B$6)</f>
        <v>17</v>
      </c>
      <c r="E32" s="46">
        <f>INDEX(Ventas_Berry!D35:J35,Datos_3J!$B$6)</f>
        <v>7</v>
      </c>
      <c r="F32" s="30">
        <v>6</v>
      </c>
      <c r="G32" s="30">
        <v>8</v>
      </c>
      <c r="H32" s="31">
        <f t="shared" si="0"/>
        <v>8.5</v>
      </c>
      <c r="I32" s="31">
        <f t="shared" si="1"/>
        <v>11.900000000000002</v>
      </c>
      <c r="J32" s="19">
        <f>Regresión!$E$38+Regresión!$E$39*D32+Regresión!$E$40*E32</f>
        <v>6.6542831930029802</v>
      </c>
      <c r="K32" s="19">
        <f>Regresión!$L$38+Regresión!$L$39*E32+Regresión!$L$40*D32</f>
        <v>8.1898753009507992</v>
      </c>
    </row>
    <row r="33" spans="1:11" x14ac:dyDescent="0.25">
      <c r="A33" s="27">
        <v>23</v>
      </c>
      <c r="B33" s="45">
        <f>Ventas_Ana!B36</f>
        <v>45858</v>
      </c>
      <c r="C33" s="45">
        <f>Ventas_Berry!B36</f>
        <v>46257</v>
      </c>
      <c r="D33" s="46">
        <f>INDEX(Ventas_Ana!D36:J36,Datos_3J!$B$6)</f>
        <v>29</v>
      </c>
      <c r="E33" s="46">
        <f>INDEX(Ventas_Berry!D36:J36,Datos_3J!$B$6)</f>
        <v>4</v>
      </c>
      <c r="F33" s="30">
        <v>6</v>
      </c>
      <c r="G33" s="30">
        <v>8</v>
      </c>
      <c r="H33" s="31">
        <f t="shared" si="0"/>
        <v>14.5</v>
      </c>
      <c r="I33" s="31">
        <f t="shared" si="1"/>
        <v>6.8000000000000007</v>
      </c>
      <c r="J33" s="19">
        <f>Regresión!$E$38+Regresión!$E$39*D33+Regresión!$E$40*E33</f>
        <v>5.9958984826638737</v>
      </c>
      <c r="K33" s="19">
        <f>Regresión!$L$38+Regresión!$L$39*E33+Regresión!$L$40*D33</f>
        <v>8.078984877647347</v>
      </c>
    </row>
    <row r="34" spans="1:11" x14ac:dyDescent="0.25">
      <c r="A34" s="27">
        <v>24</v>
      </c>
      <c r="B34" s="45">
        <f>Ventas_Ana!B37</f>
        <v>45859</v>
      </c>
      <c r="C34" s="45">
        <f>Ventas_Berry!B37</f>
        <v>46258</v>
      </c>
      <c r="D34" s="46">
        <f>INDEX(Ventas_Ana!D37:J37,Datos_3J!$B$6)</f>
        <v>9</v>
      </c>
      <c r="E34" s="46">
        <f>INDEX(Ventas_Berry!D37:J37,Datos_3J!$B$6)</f>
        <v>4</v>
      </c>
      <c r="F34" s="30">
        <v>7.5</v>
      </c>
      <c r="G34" s="30">
        <v>10</v>
      </c>
      <c r="H34" s="31">
        <f t="shared" si="0"/>
        <v>18</v>
      </c>
      <c r="I34" s="31">
        <f t="shared" si="1"/>
        <v>14.8</v>
      </c>
      <c r="J34" s="19">
        <f>Regresión!$E$38+Regresión!$E$39*D34+Regresión!$E$40*E34</f>
        <v>7.431314780935022</v>
      </c>
      <c r="K34" s="19">
        <f>Regresión!$L$38+Regresión!$L$39*E34+Regresión!$L$40*D34</f>
        <v>9.5543239148768322</v>
      </c>
    </row>
    <row r="35" spans="1:11" x14ac:dyDescent="0.25">
      <c r="A35" s="27">
        <v>25</v>
      </c>
      <c r="B35" s="45">
        <f>Ventas_Ana!B38</f>
        <v>45860</v>
      </c>
      <c r="C35" s="45">
        <f>Ventas_Berry!B38</f>
        <v>46259</v>
      </c>
      <c r="D35" s="46">
        <f>INDEX(Ventas_Ana!D38:J38,Datos_3J!$B$6)</f>
        <v>13</v>
      </c>
      <c r="E35" s="46">
        <f>INDEX(Ventas_Berry!D38:J38,Datos_3J!$B$6)</f>
        <v>3</v>
      </c>
      <c r="F35" s="30">
        <v>7</v>
      </c>
      <c r="G35" s="30">
        <v>9</v>
      </c>
      <c r="H35" s="31">
        <f t="shared" si="0"/>
        <v>19.5</v>
      </c>
      <c r="I35" s="31">
        <f t="shared" si="1"/>
        <v>8.1000000000000014</v>
      </c>
      <c r="J35" s="19">
        <f>Regresión!$E$38+Regresión!$E$39*D35+Regresión!$E$40*E35</f>
        <v>7.211853210821987</v>
      </c>
      <c r="K35" s="19">
        <f>Regresión!$L$38+Regresión!$L$39*E35+Regresión!$L$40*D35</f>
        <v>9.5173604404423475</v>
      </c>
    </row>
    <row r="36" spans="1:11" x14ac:dyDescent="0.25">
      <c r="A36" s="27">
        <v>26</v>
      </c>
      <c r="B36" s="45">
        <f>Ventas_Ana!B39</f>
        <v>45861</v>
      </c>
      <c r="C36" s="45">
        <f>Ventas_Berry!B39</f>
        <v>46260</v>
      </c>
      <c r="D36" s="46">
        <f>INDEX(Ventas_Ana!D39:J39,Datos_3J!$B$6)</f>
        <v>16</v>
      </c>
      <c r="E36" s="46">
        <f>INDEX(Ventas_Berry!D39:J39,Datos_3J!$B$6)</f>
        <v>5</v>
      </c>
      <c r="F36" s="30">
        <v>6.5</v>
      </c>
      <c r="G36" s="30">
        <v>8.5</v>
      </c>
      <c r="H36" s="31">
        <f t="shared" si="0"/>
        <v>16</v>
      </c>
      <c r="I36" s="31">
        <f t="shared" si="1"/>
        <v>11</v>
      </c>
      <c r="J36" s="19">
        <f>Regresión!$E$38+Regresión!$E$39*D36+Regresión!$E$40*E36</f>
        <v>6.8612973869989258</v>
      </c>
      <c r="K36" s="19">
        <f>Regresión!$L$38+Regresión!$L$39*E36+Regresión!$L$40*D36</f>
        <v>8.7798509188350984</v>
      </c>
    </row>
    <row r="37" spans="1:11" x14ac:dyDescent="0.25">
      <c r="A37" s="27">
        <v>27</v>
      </c>
      <c r="B37" s="45">
        <f>Ventas_Ana!B40</f>
        <v>45862</v>
      </c>
      <c r="C37" s="45">
        <f>Ventas_Berry!B40</f>
        <v>46261</v>
      </c>
      <c r="D37" s="46">
        <f>INDEX(Ventas_Ana!D40:J40,Datos_3J!$B$6)</f>
        <v>11</v>
      </c>
      <c r="E37" s="46">
        <f>INDEX(Ventas_Berry!D40:J40,Datos_3J!$B$6)</f>
        <v>7</v>
      </c>
      <c r="F37" s="30">
        <v>7</v>
      </c>
      <c r="G37" s="30">
        <v>8.5</v>
      </c>
      <c r="H37" s="31">
        <f t="shared" si="0"/>
        <v>16.5</v>
      </c>
      <c r="I37" s="31">
        <f t="shared" si="1"/>
        <v>15.400000000000002</v>
      </c>
      <c r="J37" s="19">
        <f>Regresión!$E$38+Regresión!$E$39*D37+Regresión!$E$40*E37</f>
        <v>7.0849080824843238</v>
      </c>
      <c r="K37" s="19">
        <f>Regresión!$L$38+Regresión!$L$39*E37+Regresión!$L$40*D37</f>
        <v>8.6324770121196455</v>
      </c>
    </row>
    <row r="38" spans="1:11" x14ac:dyDescent="0.25">
      <c r="A38" s="27">
        <v>28</v>
      </c>
      <c r="B38" s="45">
        <f>Ventas_Ana!B41</f>
        <v>45863</v>
      </c>
      <c r="C38" s="45">
        <f>Ventas_Berry!B41</f>
        <v>46262</v>
      </c>
      <c r="D38" s="46">
        <f>INDEX(Ventas_Ana!D41:J41,Datos_3J!$B$6)</f>
        <v>15</v>
      </c>
      <c r="E38" s="46">
        <f>INDEX(Ventas_Berry!D41:J41,Datos_3J!$B$6)</f>
        <v>2</v>
      </c>
      <c r="F38" s="30">
        <v>7</v>
      </c>
      <c r="G38" s="30">
        <v>9.5</v>
      </c>
      <c r="H38" s="31">
        <f t="shared" si="0"/>
        <v>22.5</v>
      </c>
      <c r="I38" s="31">
        <f t="shared" si="1"/>
        <v>6.4</v>
      </c>
      <c r="J38" s="19">
        <f>Regresión!$E$38+Regresión!$E$39*D38+Regresión!$E$40*E38</f>
        <v>7.1359332705360661</v>
      </c>
      <c r="K38" s="19">
        <f>Regresión!$L$38+Regresión!$L$39*E38+Regresión!$L$40*D38</f>
        <v>9.627930869730811</v>
      </c>
    </row>
    <row r="39" spans="1:11" x14ac:dyDescent="0.25">
      <c r="A39" s="27">
        <v>29</v>
      </c>
      <c r="B39" s="45">
        <f>Ventas_Ana!B42</f>
        <v>45864</v>
      </c>
      <c r="C39" s="45">
        <f>Ventas_Berry!B42</f>
        <v>46263</v>
      </c>
      <c r="D39" s="46">
        <f>INDEX(Ventas_Ana!D42:J42,Datos_3J!$B$6)</f>
        <v>19</v>
      </c>
      <c r="E39" s="46">
        <f>INDEX(Ventas_Berry!D42:J42,Datos_3J!$B$6)</f>
        <v>3</v>
      </c>
      <c r="F39" s="30">
        <v>7</v>
      </c>
      <c r="G39" s="30">
        <v>8.5</v>
      </c>
      <c r="H39" s="31">
        <f t="shared" si="0"/>
        <v>28.5</v>
      </c>
      <c r="I39" s="31">
        <f t="shared" si="1"/>
        <v>6.6000000000000005</v>
      </c>
      <c r="J39" s="19">
        <f>Regresión!$E$38+Regresión!$E$39*D39+Regresión!$E$40*E39</f>
        <v>6.7812283213406417</v>
      </c>
      <c r="K39" s="19">
        <f>Regresión!$L$38+Regresión!$L$39*E39+Regresión!$L$40*D39</f>
        <v>9.0747587292735012</v>
      </c>
    </row>
    <row r="40" spans="1:11" x14ac:dyDescent="0.25">
      <c r="A40" s="27">
        <v>30</v>
      </c>
      <c r="B40" s="45">
        <f>Ventas_Ana!B43</f>
        <v>45865</v>
      </c>
      <c r="C40" s="45">
        <f>Ventas_Berry!B43</f>
        <v>46264</v>
      </c>
      <c r="D40" s="46">
        <f>INDEX(Ventas_Ana!D43:J43,Datos_3J!$B$6)</f>
        <v>23</v>
      </c>
      <c r="E40" s="46">
        <f>INDEX(Ventas_Berry!D43:J43,Datos_3J!$B$6)</f>
        <v>1</v>
      </c>
      <c r="F40" s="30">
        <v>6.5</v>
      </c>
      <c r="G40" s="30">
        <v>9</v>
      </c>
      <c r="H40" s="31">
        <f t="shared" si="0"/>
        <v>23</v>
      </c>
      <c r="I40" s="31">
        <f t="shared" si="1"/>
        <v>2.7</v>
      </c>
      <c r="J40" s="19">
        <f>Regresión!$E$38+Regresión!$E$39*D40+Regresión!$E$40*E40</f>
        <v>6.6293884407688015</v>
      </c>
      <c r="K40" s="19">
        <f>Regresión!$L$38+Regresión!$L$39*E40+Regresión!$L$40*D40</f>
        <v>9.29589958785043</v>
      </c>
    </row>
    <row r="42" spans="1:11" x14ac:dyDescent="0.25">
      <c r="A42" s="3" t="s">
        <v>98</v>
      </c>
      <c r="B42" s="22"/>
      <c r="C42" s="22"/>
      <c r="D42" s="47">
        <f t="shared" ref="D42:K42" si="2">AVERAGE(D11:D40)</f>
        <v>13.766666666666667</v>
      </c>
      <c r="E42" s="47">
        <f t="shared" si="2"/>
        <v>4.333333333333333</v>
      </c>
      <c r="F42" s="47">
        <f t="shared" si="2"/>
        <v>7.0666666666666664</v>
      </c>
      <c r="G42" s="47">
        <f t="shared" si="2"/>
        <v>9.1166666666666671</v>
      </c>
      <c r="H42" s="47">
        <f t="shared" si="2"/>
        <v>18.283333333333335</v>
      </c>
      <c r="I42" s="47">
        <f t="shared" si="2"/>
        <v>10.866666666666669</v>
      </c>
      <c r="J42" s="47">
        <f t="shared" si="2"/>
        <v>7.0666666666666682</v>
      </c>
      <c r="K42" s="47">
        <f t="shared" si="2"/>
        <v>9.1166666666666671</v>
      </c>
    </row>
    <row r="43" spans="1:11" x14ac:dyDescent="0.25">
      <c r="A43" s="3" t="s">
        <v>233</v>
      </c>
      <c r="B43" s="22"/>
      <c r="C43" s="22"/>
      <c r="D43" s="47">
        <f t="shared" ref="D43:K43" si="3">STDEV(D11:D40)</f>
        <v>6.8060993605549962</v>
      </c>
      <c r="E43" s="47">
        <f t="shared" si="3"/>
        <v>2.2488822255440177</v>
      </c>
      <c r="F43" s="47">
        <f t="shared" si="3"/>
        <v>0.61213776527687058</v>
      </c>
      <c r="G43" s="47">
        <f t="shared" si="3"/>
        <v>0.8971538649926577</v>
      </c>
      <c r="H43" s="47">
        <f t="shared" si="3"/>
        <v>6.1120053333911866</v>
      </c>
      <c r="I43" s="47">
        <f t="shared" si="3"/>
        <v>4.5628434369245001</v>
      </c>
      <c r="J43" s="47">
        <f t="shared" si="3"/>
        <v>0.52175262289931257</v>
      </c>
      <c r="K43" s="47">
        <f t="shared" si="3"/>
        <v>0.79380746600871444</v>
      </c>
    </row>
    <row r="44" spans="1:11" x14ac:dyDescent="0.25">
      <c r="A44" s="3" t="s">
        <v>101</v>
      </c>
      <c r="B44" s="22"/>
      <c r="C44" s="22"/>
      <c r="D44" s="47">
        <f t="shared" ref="D44:K44" si="4">MIN(D11:D40)</f>
        <v>3</v>
      </c>
      <c r="E44" s="47">
        <f t="shared" si="4"/>
        <v>1</v>
      </c>
      <c r="F44" s="47">
        <f t="shared" si="4"/>
        <v>6</v>
      </c>
      <c r="G44" s="47">
        <f t="shared" si="4"/>
        <v>7.5</v>
      </c>
      <c r="H44" s="47">
        <f t="shared" si="4"/>
        <v>7.5</v>
      </c>
      <c r="I44" s="47">
        <f t="shared" si="4"/>
        <v>2.7</v>
      </c>
      <c r="J44" s="47">
        <f t="shared" si="4"/>
        <v>5.7254117244990965</v>
      </c>
      <c r="K44" s="47">
        <f t="shared" si="4"/>
        <v>7.046567545601695</v>
      </c>
    </row>
    <row r="45" spans="1:11" x14ac:dyDescent="0.25">
      <c r="A45" s="3" t="s">
        <v>102</v>
      </c>
      <c r="B45" s="22"/>
      <c r="C45" s="22"/>
      <c r="D45" s="47">
        <f t="shared" ref="D45:K45" si="5">MAX(D11:D40)</f>
        <v>29</v>
      </c>
      <c r="E45" s="47">
        <f t="shared" si="5"/>
        <v>8</v>
      </c>
      <c r="F45" s="47">
        <f t="shared" si="5"/>
        <v>8</v>
      </c>
      <c r="G45" s="47">
        <f t="shared" si="5"/>
        <v>10.5</v>
      </c>
      <c r="H45" s="47">
        <f t="shared" si="5"/>
        <v>31.5</v>
      </c>
      <c r="I45" s="47">
        <f t="shared" si="5"/>
        <v>19.200000000000003</v>
      </c>
      <c r="J45" s="47">
        <f t="shared" si="5"/>
        <v>7.9971830494987559</v>
      </c>
      <c r="K45" s="47">
        <f t="shared" si="5"/>
        <v>10.513134292068504</v>
      </c>
    </row>
    <row r="48" spans="1:11" ht="30" customHeight="1" x14ac:dyDescent="0.25">
      <c r="A48" s="65" t="s">
        <v>234</v>
      </c>
      <c r="B48" s="65"/>
      <c r="C48" s="65"/>
      <c r="D48" s="65"/>
      <c r="E48" s="65"/>
      <c r="F48" s="65"/>
      <c r="G48" s="65"/>
      <c r="H48" s="65"/>
      <c r="I48" s="65"/>
      <c r="J48" s="65"/>
      <c r="K48" s="65"/>
    </row>
  </sheetData>
  <mergeCells count="2">
    <mergeCell ref="E4:K4"/>
    <mergeCell ref="A48:K48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L59"/>
  <sheetViews>
    <sheetView showGridLines="0" zoomScaleNormal="100" workbookViewId="0"/>
  </sheetViews>
  <sheetFormatPr baseColWidth="10" defaultColWidth="8.7109375" defaultRowHeight="15" x14ac:dyDescent="0.25"/>
  <cols>
    <col min="1" max="1" width="34" customWidth="1"/>
    <col min="2" max="2" width="14" customWidth="1"/>
    <col min="3" max="4" width="15" customWidth="1"/>
    <col min="5" max="5" width="16" customWidth="1"/>
    <col min="6" max="6" width="14" customWidth="1"/>
    <col min="7" max="7" width="48" customWidth="1"/>
    <col min="8" max="8" width="22" customWidth="1"/>
    <col min="9" max="11" width="14" customWidth="1"/>
    <col min="12" max="12" width="16" customWidth="1"/>
  </cols>
  <sheetData>
    <row r="1" spans="1:5" ht="18" x14ac:dyDescent="0.25">
      <c r="A1" s="1" t="s">
        <v>235</v>
      </c>
    </row>
    <row r="2" spans="1:5" x14ac:dyDescent="0.25">
      <c r="A2" s="2" t="s">
        <v>236</v>
      </c>
    </row>
    <row r="4" spans="1:5" x14ac:dyDescent="0.25">
      <c r="A4" s="5" t="s">
        <v>237</v>
      </c>
      <c r="B4" s="6"/>
      <c r="C4" s="6"/>
      <c r="D4" s="6"/>
      <c r="E4" s="6"/>
    </row>
    <row r="5" spans="1:5" x14ac:dyDescent="0.25">
      <c r="A5" s="3" t="s">
        <v>238</v>
      </c>
      <c r="B5" s="46">
        <f>COUNT(Datos_Comp!$D$11:$D$40)</f>
        <v>30</v>
      </c>
    </row>
    <row r="6" spans="1:5" x14ac:dyDescent="0.25">
      <c r="A6" s="3" t="s">
        <v>239</v>
      </c>
      <c r="B6" s="48">
        <f>SUM(Datos_Comp!$D$11:$D$40)</f>
        <v>413</v>
      </c>
    </row>
    <row r="7" spans="1:5" x14ac:dyDescent="0.25">
      <c r="A7" s="3" t="s">
        <v>240</v>
      </c>
      <c r="B7" s="48">
        <f>SUM(Datos_Comp!$E$11:$E$40)</f>
        <v>130</v>
      </c>
    </row>
    <row r="8" spans="1:5" x14ac:dyDescent="0.25">
      <c r="A8" s="3" t="s">
        <v>241</v>
      </c>
      <c r="B8" s="48">
        <f>SUMSQ(Datos_Comp!$D$11:$D$40)</f>
        <v>7029</v>
      </c>
    </row>
    <row r="9" spans="1:5" x14ac:dyDescent="0.25">
      <c r="A9" s="3" t="s">
        <v>242</v>
      </c>
      <c r="B9" s="48">
        <f>SUMSQ(Datos_Comp!$E$11:$E$40)</f>
        <v>710</v>
      </c>
    </row>
    <row r="10" spans="1:5" x14ac:dyDescent="0.25">
      <c r="A10" s="3" t="s">
        <v>243</v>
      </c>
      <c r="B10" s="48">
        <f>SUMPRODUCT(Datos_Comp!$D$11:$D$40,Datos_Comp!$E$11:$E$40)</f>
        <v>1821</v>
      </c>
    </row>
    <row r="11" spans="1:5" x14ac:dyDescent="0.25">
      <c r="A11" s="3" t="s">
        <v>244</v>
      </c>
      <c r="B11" s="48">
        <f>SUM(Datos_Comp!$F$11:$F$40)</f>
        <v>212</v>
      </c>
    </row>
    <row r="12" spans="1:5" x14ac:dyDescent="0.25">
      <c r="A12" s="3" t="s">
        <v>245</v>
      </c>
      <c r="B12" s="48">
        <f>SUMPRODUCT(Datos_Comp!$F$11:$F$40,Datos_Comp!$D$11:$D$40)</f>
        <v>2820</v>
      </c>
    </row>
    <row r="13" spans="1:5" x14ac:dyDescent="0.25">
      <c r="A13" s="3" t="s">
        <v>246</v>
      </c>
      <c r="B13" s="48">
        <f>SUMPRODUCT(Datos_Comp!$F$11:$F$40,Datos_Comp!$E$11:$E$40)</f>
        <v>906.5</v>
      </c>
    </row>
    <row r="14" spans="1:5" x14ac:dyDescent="0.25">
      <c r="A14" s="3" t="s">
        <v>247</v>
      </c>
      <c r="B14" s="48">
        <f>SUM(Datos_Comp!$G$11:$G$40)</f>
        <v>273.5</v>
      </c>
    </row>
    <row r="15" spans="1:5" x14ac:dyDescent="0.25">
      <c r="A15" s="3" t="s">
        <v>248</v>
      </c>
      <c r="B15" s="48">
        <f>SUMPRODUCT(Datos_Comp!$G$11:$G$40,Datos_Comp!$D$11:$D$40)</f>
        <v>3658</v>
      </c>
    </row>
    <row r="16" spans="1:5" x14ac:dyDescent="0.25">
      <c r="A16" s="3" t="s">
        <v>249</v>
      </c>
      <c r="B16" s="48">
        <f>SUMPRODUCT(Datos_Comp!$G$11:$G$40,Datos_Comp!$E$11:$E$40)</f>
        <v>1145</v>
      </c>
    </row>
    <row r="19" spans="1:12" x14ac:dyDescent="0.25">
      <c r="A19" s="5" t="s">
        <v>250</v>
      </c>
      <c r="B19" s="6"/>
      <c r="C19" s="6"/>
      <c r="D19" s="6"/>
      <c r="E19" s="6"/>
      <c r="H19" s="5" t="s">
        <v>251</v>
      </c>
      <c r="I19" s="6"/>
      <c r="J19" s="6"/>
      <c r="K19" s="6"/>
      <c r="L19" s="6"/>
    </row>
    <row r="22" spans="1:12" ht="25.5" x14ac:dyDescent="0.25">
      <c r="A22" s="49" t="s">
        <v>252</v>
      </c>
      <c r="B22" s="50" t="s">
        <v>253</v>
      </c>
      <c r="C22" s="50" t="s">
        <v>254</v>
      </c>
      <c r="D22" s="50" t="s">
        <v>255</v>
      </c>
      <c r="E22" s="50" t="s">
        <v>256</v>
      </c>
      <c r="H22" s="49" t="s">
        <v>252</v>
      </c>
      <c r="I22" s="50" t="s">
        <v>253</v>
      </c>
      <c r="J22" s="50" t="s">
        <v>254</v>
      </c>
      <c r="K22" s="50" t="s">
        <v>255</v>
      </c>
      <c r="L22" s="50" t="s">
        <v>256</v>
      </c>
    </row>
    <row r="23" spans="1:12" x14ac:dyDescent="0.25">
      <c r="A23" s="43" t="s">
        <v>257</v>
      </c>
      <c r="B23" s="51">
        <f>$B$5</f>
        <v>30</v>
      </c>
      <c r="C23" s="51">
        <f>$B$6</f>
        <v>413</v>
      </c>
      <c r="D23" s="51">
        <f>$B$7</f>
        <v>130</v>
      </c>
      <c r="E23" s="51">
        <f>$B$11</f>
        <v>212</v>
      </c>
      <c r="H23" s="43" t="s">
        <v>257</v>
      </c>
      <c r="I23" s="51">
        <f>$B$5</f>
        <v>30</v>
      </c>
      <c r="J23" s="51">
        <f>$B$7</f>
        <v>130</v>
      </c>
      <c r="K23" s="51">
        <f>$B$6</f>
        <v>413</v>
      </c>
      <c r="L23" s="51">
        <f>$B$14</f>
        <v>273.5</v>
      </c>
    </row>
    <row r="24" spans="1:12" x14ac:dyDescent="0.25">
      <c r="A24" s="43" t="s">
        <v>258</v>
      </c>
      <c r="B24" s="51">
        <f>$B$6</f>
        <v>413</v>
      </c>
      <c r="C24" s="51">
        <f>$B$8</f>
        <v>7029</v>
      </c>
      <c r="D24" s="51">
        <f>$B$10</f>
        <v>1821</v>
      </c>
      <c r="E24" s="51">
        <f>$B$12</f>
        <v>2820</v>
      </c>
      <c r="H24" s="43" t="s">
        <v>258</v>
      </c>
      <c r="I24" s="51">
        <f>$B$7</f>
        <v>130</v>
      </c>
      <c r="J24" s="51">
        <f>$B$9</f>
        <v>710</v>
      </c>
      <c r="K24" s="51">
        <f>$B$10</f>
        <v>1821</v>
      </c>
      <c r="L24" s="51">
        <f>$B$16</f>
        <v>1145</v>
      </c>
    </row>
    <row r="25" spans="1:12" x14ac:dyDescent="0.25">
      <c r="A25" s="43" t="s">
        <v>259</v>
      </c>
      <c r="B25" s="51">
        <f>$B$7</f>
        <v>130</v>
      </c>
      <c r="C25" s="51">
        <f>$B$10</f>
        <v>1821</v>
      </c>
      <c r="D25" s="51">
        <f>$B$9</f>
        <v>710</v>
      </c>
      <c r="E25" s="51">
        <f>$B$13</f>
        <v>906.5</v>
      </c>
      <c r="H25" s="43" t="s">
        <v>259</v>
      </c>
      <c r="I25" s="51">
        <f>$B$6</f>
        <v>413</v>
      </c>
      <c r="J25" s="51">
        <f>$B$10</f>
        <v>1821</v>
      </c>
      <c r="K25" s="51">
        <f>$B$8</f>
        <v>7029</v>
      </c>
      <c r="L25" s="51">
        <f>$B$15</f>
        <v>3658</v>
      </c>
    </row>
    <row r="27" spans="1:12" ht="25.5" x14ac:dyDescent="0.25">
      <c r="A27" s="49" t="s">
        <v>260</v>
      </c>
      <c r="B27" s="50" t="s">
        <v>253</v>
      </c>
      <c r="C27" s="50" t="s">
        <v>254</v>
      </c>
      <c r="D27" s="50" t="s">
        <v>255</v>
      </c>
      <c r="E27" s="50" t="s">
        <v>256</v>
      </c>
      <c r="H27" s="49" t="s">
        <v>260</v>
      </c>
      <c r="I27" s="50" t="s">
        <v>253</v>
      </c>
      <c r="J27" s="50" t="s">
        <v>254</v>
      </c>
      <c r="K27" s="50" t="s">
        <v>255</v>
      </c>
      <c r="L27" s="50" t="s">
        <v>256</v>
      </c>
    </row>
    <row r="28" spans="1:12" x14ac:dyDescent="0.25">
      <c r="A28" s="43" t="s">
        <v>257</v>
      </c>
      <c r="B28" s="52">
        <f>B23/B23</f>
        <v>1</v>
      </c>
      <c r="C28" s="52">
        <f>C23/B23</f>
        <v>13.766666666666667</v>
      </c>
      <c r="D28" s="52">
        <f>D23/B23</f>
        <v>4.333333333333333</v>
      </c>
      <c r="E28" s="52">
        <f>E23/B23</f>
        <v>7.0666666666666664</v>
      </c>
      <c r="H28" s="43" t="s">
        <v>257</v>
      </c>
      <c r="I28" s="52">
        <f>I23/I23</f>
        <v>1</v>
      </c>
      <c r="J28" s="52">
        <f>J23/I23</f>
        <v>4.333333333333333</v>
      </c>
      <c r="K28" s="52">
        <f>K23/I23</f>
        <v>13.766666666666667</v>
      </c>
      <c r="L28" s="52">
        <f>L23/I23</f>
        <v>9.1166666666666671</v>
      </c>
    </row>
    <row r="29" spans="1:12" x14ac:dyDescent="0.25">
      <c r="A29" s="43" t="s">
        <v>258</v>
      </c>
      <c r="B29" s="52">
        <f>B24-B24*B28</f>
        <v>0</v>
      </c>
      <c r="C29" s="52">
        <f>C24-B24*C28</f>
        <v>1343.3666666666659</v>
      </c>
      <c r="D29" s="52">
        <f>D24-B24*D28</f>
        <v>31.333333333333485</v>
      </c>
      <c r="E29" s="52">
        <f>E24-B24*E28</f>
        <v>-98.533333333333303</v>
      </c>
      <c r="H29" s="43" t="s">
        <v>258</v>
      </c>
      <c r="I29" s="52">
        <f>I24-I24*I28</f>
        <v>0</v>
      </c>
      <c r="J29" s="52">
        <f>J24-I24*J28</f>
        <v>146.66666666666674</v>
      </c>
      <c r="K29" s="52">
        <f>K24-I24*K28</f>
        <v>31.333333333333258</v>
      </c>
      <c r="L29" s="52">
        <f>L24-I24*L28</f>
        <v>-40.166666666666742</v>
      </c>
    </row>
    <row r="30" spans="1:12" x14ac:dyDescent="0.25">
      <c r="A30" s="43" t="s">
        <v>259</v>
      </c>
      <c r="B30" s="52">
        <f>B25-B25*B28</f>
        <v>0</v>
      </c>
      <c r="C30" s="52">
        <f>C25-B25*C28</f>
        <v>31.333333333333258</v>
      </c>
      <c r="D30" s="52">
        <f>D25-B25*D28</f>
        <v>146.66666666666674</v>
      </c>
      <c r="E30" s="52">
        <f>E25-B25*E28</f>
        <v>-12.166666666666629</v>
      </c>
      <c r="H30" s="43" t="s">
        <v>259</v>
      </c>
      <c r="I30" s="52">
        <f>I25-I25*I28</f>
        <v>0</v>
      </c>
      <c r="J30" s="52">
        <f>J25-I25*J28</f>
        <v>31.333333333333485</v>
      </c>
      <c r="K30" s="52">
        <f>K25-I25*K28</f>
        <v>1343.3666666666659</v>
      </c>
      <c r="L30" s="52">
        <f>L25-I25*L28</f>
        <v>-107.18333333333339</v>
      </c>
    </row>
    <row r="32" spans="1:12" ht="25.5" x14ac:dyDescent="0.25">
      <c r="A32" s="49" t="s">
        <v>261</v>
      </c>
      <c r="B32" s="50" t="s">
        <v>253</v>
      </c>
      <c r="C32" s="50" t="s">
        <v>254</v>
      </c>
      <c r="D32" s="50" t="s">
        <v>255</v>
      </c>
      <c r="E32" s="50" t="s">
        <v>256</v>
      </c>
      <c r="H32" s="49" t="s">
        <v>261</v>
      </c>
      <c r="I32" s="50" t="s">
        <v>253</v>
      </c>
      <c r="J32" s="50" t="s">
        <v>254</v>
      </c>
      <c r="K32" s="50" t="s">
        <v>255</v>
      </c>
      <c r="L32" s="50" t="s">
        <v>256</v>
      </c>
    </row>
    <row r="33" spans="1:12" x14ac:dyDescent="0.25">
      <c r="A33" s="43" t="s">
        <v>257</v>
      </c>
      <c r="B33" s="52">
        <f>B28-C28*B34</f>
        <v>1</v>
      </c>
      <c r="C33" s="52">
        <f>C28-C28*C34</f>
        <v>0</v>
      </c>
      <c r="D33" s="52">
        <f>D28-C28*D34</f>
        <v>4.0122329470732714</v>
      </c>
      <c r="E33" s="52">
        <f>E28-C28*E34</f>
        <v>8.0764249026078758</v>
      </c>
      <c r="H33" s="43" t="s">
        <v>257</v>
      </c>
      <c r="I33" s="52">
        <f>I28-J28*I34</f>
        <v>1</v>
      </c>
      <c r="J33" s="52">
        <f>J28-J28*J34</f>
        <v>0</v>
      </c>
      <c r="K33" s="52">
        <f>K28-J28*K34</f>
        <v>12.840909090909095</v>
      </c>
      <c r="L33" s="52">
        <f>L28-J28*L34</f>
        <v>10.303409090909092</v>
      </c>
    </row>
    <row r="34" spans="1:12" x14ac:dyDescent="0.25">
      <c r="A34" s="43" t="s">
        <v>258</v>
      </c>
      <c r="B34" s="52">
        <f>B29/C29</f>
        <v>0</v>
      </c>
      <c r="C34" s="52">
        <f>C29/C29</f>
        <v>1</v>
      </c>
      <c r="D34" s="52">
        <f>D29/C29</f>
        <v>2.3324483263442723E-2</v>
      </c>
      <c r="E34" s="52">
        <f>E29/C29</f>
        <v>-7.3348055879506727E-2</v>
      </c>
      <c r="H34" s="43" t="s">
        <v>258</v>
      </c>
      <c r="I34" s="52">
        <f>I29/J29</f>
        <v>0</v>
      </c>
      <c r="J34" s="52">
        <f>J29/J29</f>
        <v>1</v>
      </c>
      <c r="K34" s="52">
        <f>K29/J29</f>
        <v>0.21363636363636301</v>
      </c>
      <c r="L34" s="52">
        <f>L29/J29</f>
        <v>-0.27386363636363675</v>
      </c>
    </row>
    <row r="35" spans="1:12" x14ac:dyDescent="0.25">
      <c r="A35" s="43" t="s">
        <v>259</v>
      </c>
      <c r="B35" s="52">
        <f>B30-C30*B34</f>
        <v>0</v>
      </c>
      <c r="C35" s="52">
        <f>C30-C30*C34</f>
        <v>0</v>
      </c>
      <c r="D35" s="52">
        <f>D30-C30*D34</f>
        <v>145.93583285774554</v>
      </c>
      <c r="E35" s="52">
        <f>E30-C30*E34</f>
        <v>-9.8684275824420897</v>
      </c>
      <c r="H35" s="43" t="s">
        <v>259</v>
      </c>
      <c r="I35" s="52">
        <f>I30-J30*I34</f>
        <v>0</v>
      </c>
      <c r="J35" s="52">
        <f>J30-J30*J34</f>
        <v>0</v>
      </c>
      <c r="K35" s="52">
        <f>K30-J30*K34</f>
        <v>1336.6727272727264</v>
      </c>
      <c r="L35" s="52">
        <f>L30-J30*L34</f>
        <v>-98.602272727272734</v>
      </c>
    </row>
    <row r="37" spans="1:12" ht="36" x14ac:dyDescent="0.25">
      <c r="A37" s="49" t="s">
        <v>262</v>
      </c>
      <c r="B37" s="50" t="s">
        <v>253</v>
      </c>
      <c r="C37" s="50" t="s">
        <v>254</v>
      </c>
      <c r="D37" s="50" t="s">
        <v>255</v>
      </c>
      <c r="E37" s="50" t="s">
        <v>256</v>
      </c>
      <c r="H37" s="49" t="s">
        <v>262</v>
      </c>
      <c r="I37" s="50" t="s">
        <v>253</v>
      </c>
      <c r="J37" s="50" t="s">
        <v>254</v>
      </c>
      <c r="K37" s="50" t="s">
        <v>255</v>
      </c>
      <c r="L37" s="50" t="s">
        <v>256</v>
      </c>
    </row>
    <row r="38" spans="1:12" x14ac:dyDescent="0.25">
      <c r="A38" s="43" t="s">
        <v>257</v>
      </c>
      <c r="B38" s="52">
        <f>B33-D33*B40</f>
        <v>1</v>
      </c>
      <c r="C38" s="52">
        <f>C33-D33*C40</f>
        <v>0</v>
      </c>
      <c r="D38" s="52">
        <f>D33-D33*D40</f>
        <v>0</v>
      </c>
      <c r="E38" s="52">
        <f>E33-D33*E40</f>
        <v>8.3477388733218163</v>
      </c>
      <c r="H38" s="43" t="s">
        <v>257</v>
      </c>
      <c r="I38" s="52">
        <f>I33-K33*I40</f>
        <v>1</v>
      </c>
      <c r="J38" s="52">
        <f>J33-K33*J40</f>
        <v>0</v>
      </c>
      <c r="K38" s="52">
        <f>K33-K33*K40</f>
        <v>0</v>
      </c>
      <c r="L38" s="52">
        <f>L33-K33*L40</f>
        <v>11.250643813675751</v>
      </c>
    </row>
    <row r="39" spans="1:12" x14ac:dyDescent="0.25">
      <c r="A39" s="43" t="s">
        <v>258</v>
      </c>
      <c r="B39" s="52">
        <f>B34-D34*B40</f>
        <v>0</v>
      </c>
      <c r="C39" s="52">
        <f>C34-D34*C40</f>
        <v>1</v>
      </c>
      <c r="D39" s="52">
        <f>D34-D34*D40</f>
        <v>0</v>
      </c>
      <c r="E39" s="52">
        <f>E34-D34*E40</f>
        <v>-7.1770814913557426E-2</v>
      </c>
      <c r="H39" s="43" t="s">
        <v>258</v>
      </c>
      <c r="I39" s="52">
        <f>I34-K34*I40</f>
        <v>0</v>
      </c>
      <c r="J39" s="52">
        <f>J34-K34*J40</f>
        <v>1</v>
      </c>
      <c r="K39" s="52">
        <f>K34-K34*K40</f>
        <v>0</v>
      </c>
      <c r="L39" s="52">
        <f>L34-K34*L40</f>
        <v>-0.25810433301141278</v>
      </c>
    </row>
    <row r="40" spans="1:12" x14ac:dyDescent="0.25">
      <c r="A40" s="43" t="s">
        <v>259</v>
      </c>
      <c r="B40" s="52">
        <f>B35/D35</f>
        <v>0</v>
      </c>
      <c r="C40" s="52">
        <f>C35/D35</f>
        <v>0</v>
      </c>
      <c r="D40" s="52">
        <f>D35/D35</f>
        <v>1</v>
      </c>
      <c r="E40" s="52">
        <f>E35/D35</f>
        <v>-6.7621689541194296E-2</v>
      </c>
      <c r="H40" s="43" t="s">
        <v>259</v>
      </c>
      <c r="I40" s="52">
        <f>I35/K35</f>
        <v>0</v>
      </c>
      <c r="J40" s="52">
        <f>J35/K35</f>
        <v>0</v>
      </c>
      <c r="K40" s="52">
        <f>K35/K35</f>
        <v>1</v>
      </c>
      <c r="L40" s="52">
        <f>L35/K35</f>
        <v>-7.3766951861474264E-2</v>
      </c>
    </row>
    <row r="42" spans="1:12" x14ac:dyDescent="0.25">
      <c r="A42" s="5" t="s">
        <v>263</v>
      </c>
      <c r="B42" s="6"/>
      <c r="C42" s="6"/>
      <c r="D42" s="6"/>
      <c r="E42" s="6"/>
      <c r="F42" s="6"/>
      <c r="G42" s="6"/>
    </row>
    <row r="43" spans="1:12" ht="30" customHeight="1" x14ac:dyDescent="0.25">
      <c r="A43" s="7" t="s">
        <v>264</v>
      </c>
      <c r="B43" s="7" t="s">
        <v>265</v>
      </c>
      <c r="C43" s="7" t="s">
        <v>266</v>
      </c>
      <c r="D43" s="7" t="s">
        <v>267</v>
      </c>
      <c r="E43" s="7" t="s">
        <v>268</v>
      </c>
      <c r="F43" s="7" t="s">
        <v>269</v>
      </c>
      <c r="G43" s="7" t="s">
        <v>270</v>
      </c>
    </row>
    <row r="44" spans="1:12" ht="25.5" x14ac:dyDescent="0.25">
      <c r="A44" s="8" t="s">
        <v>271</v>
      </c>
      <c r="B44" s="52">
        <f>E38</f>
        <v>8.3477388733218163</v>
      </c>
      <c r="C44" s="52">
        <f>INDEX(LINEST(Datos_Comp!$F$11:$F$40,Datos_Comp!$D$11:$E$40,TRUE(),TRUE()),1,3)</f>
        <v>8.3477388733218163</v>
      </c>
      <c r="D44" s="53">
        <f>B44-C44</f>
        <v>0</v>
      </c>
      <c r="E44" s="52">
        <f>INDEX(LINEST(Datos_Comp!$F$11:$F$40,Datos_Comp!$D$11:$E$40,TRUE(),TRUE()),2,3)</f>
        <v>0.17703585199454083</v>
      </c>
      <c r="F44" s="31">
        <f>B44/E44</f>
        <v>47.15281554144881</v>
      </c>
      <c r="G44" s="11" t="s">
        <v>272</v>
      </c>
    </row>
    <row r="45" spans="1:12" x14ac:dyDescent="0.25">
      <c r="A45" s="8" t="s">
        <v>273</v>
      </c>
      <c r="B45" s="52">
        <f>E39</f>
        <v>-7.1770814913557426E-2</v>
      </c>
      <c r="C45" s="52">
        <f>INDEX(LINEST(Datos_Comp!$F$11:$F$40,Datos_Comp!$D$11:$E$40,TRUE(),TRUE()),1,2)</f>
        <v>-7.1770814913557385E-2</v>
      </c>
      <c r="D45" s="53">
        <f>B45-C45</f>
        <v>0</v>
      </c>
      <c r="E45" s="52">
        <f>INDEX(LINEST(Datos_Comp!$F$11:$F$40,Datos_Comp!$D$11:$E$40,TRUE(),TRUE()),2,2)</f>
        <v>9.0748328298667705E-3</v>
      </c>
      <c r="F45" s="31">
        <f>B45/E45</f>
        <v>-7.9087754297079549</v>
      </c>
      <c r="G45" s="11" t="s">
        <v>274</v>
      </c>
    </row>
    <row r="46" spans="1:12" x14ac:dyDescent="0.25">
      <c r="A46" s="8" t="s">
        <v>275</v>
      </c>
      <c r="B46" s="52">
        <f>E40</f>
        <v>-6.7621689541194296E-2</v>
      </c>
      <c r="C46" s="52">
        <f>INDEX(LINEST(Datos_Comp!$F$11:$F$40,Datos_Comp!$D$11:$E$40,TRUE(),TRUE()),1,1)</f>
        <v>-6.762168954119456E-2</v>
      </c>
      <c r="D46" s="53">
        <f>B46-C46</f>
        <v>2.6367796834847468E-16</v>
      </c>
      <c r="E46" s="52">
        <f>INDEX(LINEST(Datos_Comp!$F$11:$F$40,Datos_Comp!$D$11:$E$40,TRUE(),TRUE()),2,1)</f>
        <v>2.7464405747419068E-2</v>
      </c>
      <c r="F46" s="31">
        <f>B46/E46</f>
        <v>-2.4621573888431558</v>
      </c>
      <c r="G46" s="11" t="s">
        <v>276</v>
      </c>
    </row>
    <row r="47" spans="1:12" ht="25.5" x14ac:dyDescent="0.25">
      <c r="A47" s="8" t="s">
        <v>277</v>
      </c>
      <c r="B47" s="54">
        <f>1-SUMXMY2(Datos_Comp!$F$11:$F$40,Datos_Comp!$J$11:$J$40)/DEVSQ(Datos_Comp!$F$11:$F$40)</f>
        <v>0.72649216431598695</v>
      </c>
      <c r="C47" s="54">
        <f>INDEX(LINEST(Datos_Comp!$F$11:$F$40,Datos_Comp!$D$11:$E$40,TRUE(),TRUE()),3,1)</f>
        <v>0.72649216431598684</v>
      </c>
      <c r="D47" s="53">
        <f>B47-C47</f>
        <v>0</v>
      </c>
      <c r="G47" s="11" t="s">
        <v>278</v>
      </c>
    </row>
    <row r="48" spans="1:12" x14ac:dyDescent="0.25">
      <c r="A48" s="8" t="s">
        <v>279</v>
      </c>
      <c r="B48" s="54">
        <f>SQRT(SUMXMY2(Datos_Comp!$F$11:$F$40,Datos_Comp!$J$11:$J$40)/(COUNT(Datos_Comp!$F$11:$F$40)-3))</f>
        <v>0.33178074426185206</v>
      </c>
      <c r="C48" s="54">
        <f>INDEX(LINEST(Datos_Comp!$F$11:$F$40,Datos_Comp!$D$11:$E$40,TRUE(),TRUE()),3,2)</f>
        <v>0.33178074426185217</v>
      </c>
      <c r="D48" s="53">
        <f>B48-C48</f>
        <v>0</v>
      </c>
    </row>
    <row r="49" spans="1:7" x14ac:dyDescent="0.25">
      <c r="A49" s="8" t="s">
        <v>280</v>
      </c>
      <c r="B49" s="42" t="str">
        <f>IF(AND(B45&lt;0,B46&lt;0),"CUMPLE","REVISAR")</f>
        <v>CUMPLE</v>
      </c>
    </row>
    <row r="52" spans="1:7" x14ac:dyDescent="0.25">
      <c r="A52" s="5" t="s">
        <v>281</v>
      </c>
      <c r="B52" s="6"/>
      <c r="C52" s="6"/>
      <c r="D52" s="6"/>
      <c r="E52" s="6"/>
      <c r="F52" s="6"/>
      <c r="G52" s="6"/>
    </row>
    <row r="53" spans="1:7" ht="30" customHeight="1" x14ac:dyDescent="0.25">
      <c r="A53" s="7" t="s">
        <v>264</v>
      </c>
      <c r="B53" s="7" t="s">
        <v>265</v>
      </c>
      <c r="C53" s="7" t="s">
        <v>266</v>
      </c>
      <c r="D53" s="7" t="s">
        <v>267</v>
      </c>
      <c r="E53" s="7" t="s">
        <v>268</v>
      </c>
      <c r="F53" s="7" t="s">
        <v>269</v>
      </c>
      <c r="G53" s="7" t="s">
        <v>270</v>
      </c>
    </row>
    <row r="54" spans="1:7" ht="25.5" x14ac:dyDescent="0.25">
      <c r="A54" s="8" t="s">
        <v>271</v>
      </c>
      <c r="B54" s="52">
        <f>L38</f>
        <v>11.250643813675751</v>
      </c>
      <c r="C54" s="52">
        <f>INDEX(LINEST(Datos_Comp!$G$11:$G$40,Datos_Comp!$D$11:$E$40,TRUE(),TRUE()),1,3)</f>
        <v>11.250643813675749</v>
      </c>
      <c r="D54" s="53">
        <f>B54-C54</f>
        <v>0</v>
      </c>
      <c r="E54" s="52">
        <f>INDEX(LINEST(Datos_Comp!$G$11:$G$40,Datos_Comp!$D$11:$E$40,TRUE(),TRUE()),2,3)</f>
        <v>0.23117543187733147</v>
      </c>
      <c r="F54" s="31">
        <f>B54/E54</f>
        <v>48.667125750826649</v>
      </c>
      <c r="G54" s="11" t="s">
        <v>272</v>
      </c>
    </row>
    <row r="55" spans="1:7" x14ac:dyDescent="0.25">
      <c r="A55" s="8" t="s">
        <v>273</v>
      </c>
      <c r="B55" s="52">
        <f>L39</f>
        <v>-0.25810433301141278</v>
      </c>
      <c r="C55" s="52">
        <f>INDEX(LINEST(Datos_Comp!$G$11:$G$40,Datos_Comp!$D$11:$E$40,TRUE(),TRUE()),1,1)</f>
        <v>-0.25810433301141233</v>
      </c>
      <c r="D55" s="53">
        <f>B55-C55</f>
        <v>-4.4408920985006262E-16</v>
      </c>
      <c r="E55" s="52">
        <f>INDEX(LINEST(Datos_Comp!$G$11:$G$40,Datos_Comp!$D$11:$E$40,TRUE(),TRUE()),2,1)</f>
        <v>3.5863333829746824E-2</v>
      </c>
      <c r="F55" s="31">
        <f>B55/E55</f>
        <v>-7.1968862191313701</v>
      </c>
      <c r="G55" s="11" t="s">
        <v>274</v>
      </c>
    </row>
    <row r="56" spans="1:7" x14ac:dyDescent="0.25">
      <c r="A56" s="8" t="s">
        <v>275</v>
      </c>
      <c r="B56" s="52">
        <f>L40</f>
        <v>-7.3766951861474264E-2</v>
      </c>
      <c r="C56" s="52">
        <f>INDEX(LINEST(Datos_Comp!$G$11:$G$40,Datos_Comp!$D$11:$E$40,TRUE(),TRUE()),1,2)</f>
        <v>-7.3766951861474181E-2</v>
      </c>
      <c r="D56" s="53">
        <f>B56-C56</f>
        <v>0</v>
      </c>
      <c r="E56" s="52">
        <f>INDEX(LINEST(Datos_Comp!$G$11:$G$40,Datos_Comp!$D$11:$E$40,TRUE(),TRUE()),2,2)</f>
        <v>1.1850020066690944E-2</v>
      </c>
      <c r="F56" s="31">
        <f>B56/E56</f>
        <v>-6.2250486873709825</v>
      </c>
      <c r="G56" s="11" t="s">
        <v>276</v>
      </c>
    </row>
    <row r="57" spans="1:7" ht="25.5" x14ac:dyDescent="0.25">
      <c r="A57" s="8" t="s">
        <v>277</v>
      </c>
      <c r="B57" s="54">
        <f>1-SUMXMY2(Datos_Comp!$G$11:$G$40,Datos_Comp!$K$11:$K$40)/DEVSQ(Datos_Comp!$G$11:$G$40)</f>
        <v>0.78288233486515135</v>
      </c>
      <c r="C57" s="54">
        <f>INDEX(LINEST(Datos_Comp!$G$11:$G$40,Datos_Comp!$D$11:$E$40,TRUE(),TRUE()),3,1)</f>
        <v>0.78288233486515113</v>
      </c>
      <c r="D57" s="53">
        <f>B57-C57</f>
        <v>0</v>
      </c>
      <c r="G57" s="11" t="s">
        <v>278</v>
      </c>
    </row>
    <row r="58" spans="1:7" x14ac:dyDescent="0.25">
      <c r="A58" s="8" t="s">
        <v>279</v>
      </c>
      <c r="B58" s="54">
        <f>SQRT(SUMXMY2(Datos_Comp!$G$11:$G$40,Datos_Comp!$K$11:$K$40)/(COUNT(Datos_Comp!$G$11:$G$40)-3))</f>
        <v>0.43324307466083911</v>
      </c>
      <c r="C58" s="54">
        <f>INDEX(LINEST(Datos_Comp!$G$11:$G$40,Datos_Comp!$D$11:$E$40,TRUE(),TRUE()),3,2)</f>
        <v>0.43324307466083922</v>
      </c>
      <c r="D58" s="53">
        <f>B58-C58</f>
        <v>0</v>
      </c>
    </row>
    <row r="59" spans="1:7" x14ac:dyDescent="0.25">
      <c r="A59" s="8" t="s">
        <v>280</v>
      </c>
      <c r="B59" s="42" t="str">
        <f>IF(AND(B55&lt;0,B56&lt;0),"CUMPLE","REVISAR")</f>
        <v>CUMPLE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I71"/>
  <sheetViews>
    <sheetView showGridLines="0" zoomScaleNormal="100" workbookViewId="0"/>
  </sheetViews>
  <sheetFormatPr baseColWidth="10" defaultColWidth="8.7109375" defaultRowHeight="15" x14ac:dyDescent="0.25"/>
  <cols>
    <col min="1" max="1" width="38" customWidth="1"/>
    <col min="2" max="2" width="18" customWidth="1"/>
    <col min="3" max="3" width="22" customWidth="1"/>
    <col min="4" max="4" width="24" customWidth="1"/>
    <col min="5" max="5" width="14" customWidth="1"/>
    <col min="7" max="7" width="16" customWidth="1"/>
  </cols>
  <sheetData>
    <row r="1" spans="1:5" ht="18" x14ac:dyDescent="0.25">
      <c r="A1" s="1" t="s">
        <v>282</v>
      </c>
    </row>
    <row r="2" spans="1:5" x14ac:dyDescent="0.25">
      <c r="A2" s="2" t="s">
        <v>283</v>
      </c>
    </row>
    <row r="4" spans="1:5" x14ac:dyDescent="0.25">
      <c r="A4" s="5" t="s">
        <v>284</v>
      </c>
      <c r="B4" s="6"/>
      <c r="C4" s="6"/>
      <c r="D4" s="6"/>
      <c r="E4" s="6"/>
    </row>
    <row r="5" spans="1:5" x14ac:dyDescent="0.25">
      <c r="A5" s="7" t="s">
        <v>285</v>
      </c>
      <c r="B5" s="7" t="s">
        <v>286</v>
      </c>
      <c r="C5" s="7" t="s">
        <v>287</v>
      </c>
      <c r="D5" s="7" t="s">
        <v>286</v>
      </c>
    </row>
    <row r="6" spans="1:5" x14ac:dyDescent="0.25">
      <c r="A6" s="3" t="s">
        <v>288</v>
      </c>
      <c r="B6" s="51">
        <f>Regresión!B44</f>
        <v>8.3477388733218163</v>
      </c>
      <c r="C6" s="3" t="s">
        <v>289</v>
      </c>
      <c r="D6" s="51">
        <f>Regresión!B54</f>
        <v>11.250643813675751</v>
      </c>
    </row>
    <row r="7" spans="1:5" x14ac:dyDescent="0.25">
      <c r="A7" s="3" t="s">
        <v>290</v>
      </c>
      <c r="B7" s="51">
        <f>Regresión!B45</f>
        <v>-7.1770814913557426E-2</v>
      </c>
      <c r="C7" s="3" t="s">
        <v>291</v>
      </c>
      <c r="D7" s="51">
        <f>Regresión!B55</f>
        <v>-0.25810433301141278</v>
      </c>
    </row>
    <row r="8" spans="1:5" x14ac:dyDescent="0.25">
      <c r="A8" s="3" t="s">
        <v>292</v>
      </c>
      <c r="B8" s="51">
        <f>Regresión!B46</f>
        <v>-6.7621689541194296E-2</v>
      </c>
      <c r="C8" s="3" t="s">
        <v>293</v>
      </c>
      <c r="D8" s="51">
        <f>Regresión!B56</f>
        <v>-7.3766951861474264E-2</v>
      </c>
    </row>
    <row r="9" spans="1:5" x14ac:dyDescent="0.25">
      <c r="A9" s="3" t="s">
        <v>294</v>
      </c>
      <c r="B9" s="19">
        <f>Datos_Comp!B5</f>
        <v>5.5</v>
      </c>
      <c r="C9" s="3" t="s">
        <v>295</v>
      </c>
      <c r="D9" s="19">
        <f>Datos_Comp!B6</f>
        <v>6.3</v>
      </c>
    </row>
    <row r="10" spans="1:5" x14ac:dyDescent="0.25">
      <c r="A10" s="3" t="s">
        <v>296</v>
      </c>
      <c r="B10" s="52">
        <f>B6-B9</f>
        <v>2.8477388733218163</v>
      </c>
      <c r="C10" s="3" t="s">
        <v>297</v>
      </c>
      <c r="D10" s="52">
        <f>D6-D9</f>
        <v>4.9506438136757511</v>
      </c>
    </row>
    <row r="12" spans="1:5" x14ac:dyDescent="0.25">
      <c r="A12" s="5" t="s">
        <v>298</v>
      </c>
      <c r="B12" s="6"/>
      <c r="C12" s="6"/>
      <c r="D12" s="6"/>
      <c r="E12" s="6"/>
    </row>
    <row r="13" spans="1:5" ht="27.75" customHeight="1" x14ac:dyDescent="0.25">
      <c r="A13" s="63" t="s">
        <v>299</v>
      </c>
      <c r="B13" s="63"/>
      <c r="C13" s="63" t="s">
        <v>300</v>
      </c>
      <c r="D13" s="63"/>
    </row>
    <row r="14" spans="1:5" ht="27.75" customHeight="1" x14ac:dyDescent="0.25">
      <c r="A14" s="63" t="s">
        <v>301</v>
      </c>
      <c r="B14" s="63"/>
      <c r="C14" s="63" t="s">
        <v>302</v>
      </c>
      <c r="D14" s="63"/>
    </row>
    <row r="15" spans="1:5" ht="27.75" customHeight="1" x14ac:dyDescent="0.25">
      <c r="A15" s="63" t="s">
        <v>303</v>
      </c>
      <c r="B15" s="63"/>
      <c r="C15" s="63" t="s">
        <v>304</v>
      </c>
      <c r="D15" s="63"/>
    </row>
    <row r="17" spans="1:5" x14ac:dyDescent="0.25">
      <c r="A17" s="7" t="s">
        <v>305</v>
      </c>
      <c r="B17" s="7" t="s">
        <v>306</v>
      </c>
      <c r="C17" s="7" t="s">
        <v>307</v>
      </c>
      <c r="D17" s="7" t="s">
        <v>308</v>
      </c>
    </row>
    <row r="18" spans="1:5" x14ac:dyDescent="0.25">
      <c r="A18" s="8" t="s">
        <v>309</v>
      </c>
      <c r="B18" s="52">
        <f>-B10/(2*B7)</f>
        <v>19.839114804197951</v>
      </c>
      <c r="C18" s="52">
        <f>-B8/(2*B7)</f>
        <v>-0.47109461988580986</v>
      </c>
      <c r="D18" s="9" t="str">
        <f>"q1 = "&amp;TEXT(B18,"0.00")&amp;" "&amp;TEXT(C18,"+0.000;-0.000")&amp;"·q2"</f>
        <v>q1 = 19.84 -0.471·q2</v>
      </c>
    </row>
    <row r="19" spans="1:5" x14ac:dyDescent="0.25">
      <c r="A19" s="8" t="s">
        <v>310</v>
      </c>
      <c r="B19" s="52">
        <f>-D10/(2*D7)</f>
        <v>9.5903926832891351</v>
      </c>
      <c r="C19" s="52">
        <f>-D8/(2*D7)</f>
        <v>-0.14290142091146618</v>
      </c>
      <c r="D19" s="9" t="str">
        <f>"q2 = "&amp;TEXT(B19,"0.00")&amp;" "&amp;TEXT(C19,"+0.000;-0.000")&amp;"·q1"</f>
        <v>q2 = 9.59 -0.143·q1</v>
      </c>
    </row>
    <row r="21" spans="1:5" x14ac:dyDescent="0.25">
      <c r="A21" s="5" t="s">
        <v>311</v>
      </c>
      <c r="B21" s="6"/>
      <c r="C21" s="6"/>
      <c r="D21" s="6"/>
      <c r="E21" s="6"/>
    </row>
    <row r="22" spans="1:5" ht="25.5" x14ac:dyDescent="0.25">
      <c r="A22" s="7" t="s">
        <v>312</v>
      </c>
      <c r="B22" s="7" t="s">
        <v>313</v>
      </c>
      <c r="C22" s="7" t="s">
        <v>314</v>
      </c>
      <c r="D22" s="7" t="s">
        <v>267</v>
      </c>
    </row>
    <row r="23" spans="1:5" x14ac:dyDescent="0.25">
      <c r="A23" s="3" t="s">
        <v>315</v>
      </c>
      <c r="B23" s="55">
        <f>(B18+C18*B19)/(1-C18*C19)</f>
        <v>16.426999502751713</v>
      </c>
      <c r="C23" s="52">
        <f>(-B10*2*D7+B8*D10)/(4*B7*D7-B8*D8)</f>
        <v>16.426999502751709</v>
      </c>
      <c r="D23" s="53">
        <f>B23-C23</f>
        <v>0</v>
      </c>
    </row>
    <row r="24" spans="1:5" x14ac:dyDescent="0.25">
      <c r="A24" s="3" t="s">
        <v>316</v>
      </c>
      <c r="B24" s="55">
        <f>B19+C19*B23</f>
        <v>7.2429511130339668</v>
      </c>
      <c r="C24" s="52">
        <f>(-2*B7*D10+D8*B10)/(4*B7*D7-B8*D8)</f>
        <v>7.2429511130339677</v>
      </c>
      <c r="D24" s="53">
        <f>B24-C24</f>
        <v>0</v>
      </c>
    </row>
    <row r="25" spans="1:5" x14ac:dyDescent="0.25">
      <c r="A25" s="3" t="s">
        <v>317</v>
      </c>
      <c r="B25" s="31">
        <f>B6+B7*B23+B8*B24</f>
        <v>6.6789791408970922</v>
      </c>
    </row>
    <row r="26" spans="1:5" x14ac:dyDescent="0.25">
      <c r="A26" s="3" t="s">
        <v>318</v>
      </c>
      <c r="B26" s="31">
        <f>D6+D7*B24+D8*B23</f>
        <v>8.1694370660639013</v>
      </c>
    </row>
    <row r="27" spans="1:5" x14ac:dyDescent="0.25">
      <c r="A27" s="3" t="s">
        <v>319</v>
      </c>
      <c r="B27" s="56">
        <f>(B25-B9)*B23</f>
        <v>19.367089761271174</v>
      </c>
    </row>
    <row r="28" spans="1:5" x14ac:dyDescent="0.25">
      <c r="A28" s="3" t="s">
        <v>320</v>
      </c>
      <c r="B28" s="56">
        <f>(B26-D9)*B24</f>
        <v>13.540241278394488</v>
      </c>
    </row>
    <row r="29" spans="1:5" x14ac:dyDescent="0.25">
      <c r="A29" s="3" t="s">
        <v>321</v>
      </c>
      <c r="B29" s="56">
        <f>B27+B28</f>
        <v>32.907331039665664</v>
      </c>
    </row>
    <row r="30" spans="1:5" x14ac:dyDescent="0.25">
      <c r="A30" s="3" t="s">
        <v>322</v>
      </c>
      <c r="B30" s="53">
        <f>B10+2*B7*B23+B8*B24</f>
        <v>-4.9960036108132044E-16</v>
      </c>
    </row>
    <row r="31" spans="1:5" x14ac:dyDescent="0.25">
      <c r="A31" s="3" t="s">
        <v>323</v>
      </c>
      <c r="B31" s="53">
        <f>D10+2*D7*B24+D8*B23</f>
        <v>0</v>
      </c>
    </row>
    <row r="33" spans="1:5" x14ac:dyDescent="0.25">
      <c r="A33" s="5" t="s">
        <v>324</v>
      </c>
      <c r="B33" s="6"/>
      <c r="C33" s="6"/>
      <c r="D33" s="6"/>
      <c r="E33" s="6"/>
    </row>
    <row r="34" spans="1:5" x14ac:dyDescent="0.25">
      <c r="A34" s="3" t="s">
        <v>325</v>
      </c>
      <c r="B34" s="52">
        <f>2*B7</f>
        <v>-0.14354162982711485</v>
      </c>
      <c r="C34" s="42" t="str">
        <f>IF(B34&lt;0,"CUMPLE","REVISAR")</f>
        <v>CUMPLE</v>
      </c>
    </row>
    <row r="35" spans="1:5" x14ac:dyDescent="0.25">
      <c r="A35" s="3" t="s">
        <v>326</v>
      </c>
      <c r="B35" s="52">
        <f>2*D7</f>
        <v>-0.51620866602282556</v>
      </c>
      <c r="C35" s="42" t="str">
        <f>IF(B35&lt;0,"CUMPLE","REVISAR")</f>
        <v>CUMPLE</v>
      </c>
    </row>
    <row r="36" spans="1:5" x14ac:dyDescent="0.25">
      <c r="A36" s="3" t="s">
        <v>327</v>
      </c>
      <c r="B36" s="52">
        <f>ABS(C18*C19)</f>
        <v>6.7320090565429286E-2</v>
      </c>
      <c r="C36" s="42" t="str">
        <f>IF(B36&lt;1,"CUMPLE","REVISAR")</f>
        <v>CUMPLE</v>
      </c>
    </row>
    <row r="37" spans="1:5" x14ac:dyDescent="0.25">
      <c r="A37" s="3" t="s">
        <v>328</v>
      </c>
      <c r="B37" s="52">
        <f>4*B7*D7-B8*D8</f>
        <v>6.9109187334620348E-2</v>
      </c>
      <c r="C37" s="42" t="str">
        <f>IF(B37&gt;0,"CUMPLE","REVISAR")</f>
        <v>CUMPLE</v>
      </c>
    </row>
    <row r="39" spans="1:5" x14ac:dyDescent="0.25">
      <c r="A39" s="5" t="s">
        <v>329</v>
      </c>
      <c r="B39" s="6"/>
      <c r="C39" s="6"/>
      <c r="D39" s="6"/>
      <c r="E39" s="6"/>
    </row>
    <row r="40" spans="1:5" x14ac:dyDescent="0.25">
      <c r="A40" s="7" t="s">
        <v>330</v>
      </c>
      <c r="B40" s="7" t="s">
        <v>331</v>
      </c>
      <c r="C40" s="7" t="s">
        <v>332</v>
      </c>
      <c r="D40" s="7" t="s">
        <v>333</v>
      </c>
      <c r="E40" s="7" t="s">
        <v>334</v>
      </c>
    </row>
    <row r="41" spans="1:5" x14ac:dyDescent="0.25">
      <c r="A41" s="27">
        <v>0</v>
      </c>
      <c r="B41" s="19">
        <f>Datos_Comp!$D$42</f>
        <v>13.766666666666667</v>
      </c>
      <c r="C41" s="19">
        <f>Datos_Comp!$E$42</f>
        <v>4.333333333333333</v>
      </c>
      <c r="D41" s="10"/>
      <c r="E41" s="10"/>
    </row>
    <row r="42" spans="1:5" x14ac:dyDescent="0.25">
      <c r="A42" s="27">
        <v>1</v>
      </c>
      <c r="B42" s="31">
        <f t="shared" ref="B42:B51" si="0">$B$18+$C$18*C41</f>
        <v>17.797704784692776</v>
      </c>
      <c r="C42" s="31">
        <f t="shared" ref="C42:C51" si="1">$B$19+$C$19*B41</f>
        <v>7.6231164554079509</v>
      </c>
      <c r="D42" s="54">
        <f t="shared" ref="D42:D51" si="2">ABS(B42-B41)</f>
        <v>4.0310381180261086</v>
      </c>
      <c r="E42" s="54">
        <f t="shared" ref="E42:E51" si="3">ABS(C42-C41)</f>
        <v>3.2897831220746179</v>
      </c>
    </row>
    <row r="43" spans="1:5" x14ac:dyDescent="0.25">
      <c r="A43" s="27">
        <v>2</v>
      </c>
      <c r="B43" s="31">
        <f t="shared" si="0"/>
        <v>16.247905655292278</v>
      </c>
      <c r="C43" s="31">
        <f t="shared" si="1"/>
        <v>7.0470753805937374</v>
      </c>
      <c r="D43" s="54">
        <f t="shared" si="2"/>
        <v>1.5497991294004976</v>
      </c>
      <c r="E43" s="54">
        <f t="shared" si="3"/>
        <v>0.57604107481421352</v>
      </c>
    </row>
    <row r="44" spans="1:5" x14ac:dyDescent="0.25">
      <c r="A44" s="27">
        <v>3</v>
      </c>
      <c r="B44" s="31">
        <f t="shared" si="0"/>
        <v>16.519275506470496</v>
      </c>
      <c r="C44" s="31">
        <f t="shared" si="1"/>
        <v>7.2685438783124212</v>
      </c>
      <c r="D44" s="54">
        <f t="shared" si="2"/>
        <v>0.27136985117821766</v>
      </c>
      <c r="E44" s="54">
        <f t="shared" si="3"/>
        <v>0.22146849771868382</v>
      </c>
    </row>
    <row r="45" spans="1:5" x14ac:dyDescent="0.25">
      <c r="A45" s="27">
        <v>4</v>
      </c>
      <c r="B45" s="31">
        <f t="shared" si="0"/>
        <v>16.414942888721029</v>
      </c>
      <c r="C45" s="31">
        <f t="shared" si="1"/>
        <v>7.2297647409865213</v>
      </c>
      <c r="D45" s="54">
        <f t="shared" si="2"/>
        <v>0.104332617749467</v>
      </c>
      <c r="E45" s="54">
        <f t="shared" si="3"/>
        <v>3.8779137325899882E-2</v>
      </c>
    </row>
    <row r="46" spans="1:5" x14ac:dyDescent="0.25">
      <c r="A46" s="27">
        <v>5</v>
      </c>
      <c r="B46" s="31">
        <f t="shared" si="0"/>
        <v>16.433211531679074</v>
      </c>
      <c r="C46" s="31">
        <f t="shared" si="1"/>
        <v>7.2446740203103328</v>
      </c>
      <c r="D46" s="54">
        <f t="shared" si="2"/>
        <v>1.8268642958044978E-2</v>
      </c>
      <c r="E46" s="54">
        <f t="shared" si="3"/>
        <v>1.4909279323811475E-2</v>
      </c>
    </row>
    <row r="47" spans="1:5" x14ac:dyDescent="0.25">
      <c r="A47" s="27">
        <v>6</v>
      </c>
      <c r="B47" s="31">
        <f t="shared" si="0"/>
        <v>16.426187850403252</v>
      </c>
      <c r="C47" s="31">
        <f t="shared" si="1"/>
        <v>7.2420634052735036</v>
      </c>
      <c r="D47" s="54">
        <f t="shared" si="2"/>
        <v>7.0236812758217582E-3</v>
      </c>
      <c r="E47" s="54">
        <f t="shared" si="3"/>
        <v>2.6106150368292447E-3</v>
      </c>
    </row>
    <row r="48" spans="1:5" x14ac:dyDescent="0.25">
      <c r="A48" s="27">
        <v>7</v>
      </c>
      <c r="B48" s="31">
        <f t="shared" si="0"/>
        <v>16.427417697101696</v>
      </c>
      <c r="C48" s="31">
        <f t="shared" si="1"/>
        <v>7.2430670993078481</v>
      </c>
      <c r="D48" s="54">
        <f t="shared" si="2"/>
        <v>1.2298466984432821E-3</v>
      </c>
      <c r="E48" s="54">
        <f t="shared" si="3"/>
        <v>1.0036940343445266E-3</v>
      </c>
    </row>
    <row r="49" spans="1:9" x14ac:dyDescent="0.25">
      <c r="A49" s="27">
        <v>8</v>
      </c>
      <c r="B49" s="31">
        <f t="shared" si="0"/>
        <v>16.426944862242106</v>
      </c>
      <c r="C49" s="31">
        <f t="shared" si="1"/>
        <v>7.2428913524671366</v>
      </c>
      <c r="D49" s="54">
        <f t="shared" si="2"/>
        <v>4.7283485958971028E-4</v>
      </c>
      <c r="E49" s="54">
        <f t="shared" si="3"/>
        <v>1.7574684071153257E-4</v>
      </c>
    </row>
    <row r="50" spans="1:9" x14ac:dyDescent="0.25">
      <c r="A50" s="27">
        <v>9</v>
      </c>
      <c r="B50" s="31">
        <f t="shared" si="0"/>
        <v>16.427027655633225</v>
      </c>
      <c r="C50" s="31">
        <f t="shared" si="1"/>
        <v>7.2429589212404295</v>
      </c>
      <c r="D50" s="54">
        <f t="shared" si="2"/>
        <v>8.2793391118940463E-5</v>
      </c>
      <c r="E50" s="54">
        <f t="shared" si="3"/>
        <v>6.7568773292947526E-5</v>
      </c>
    </row>
    <row r="51" spans="1:9" x14ac:dyDescent="0.25">
      <c r="A51" s="27">
        <v>10</v>
      </c>
      <c r="B51" s="31">
        <f t="shared" si="0"/>
        <v>16.426995824347657</v>
      </c>
      <c r="C51" s="31">
        <f t="shared" si="1"/>
        <v>7.2429470899471955</v>
      </c>
      <c r="D51" s="54">
        <f t="shared" si="2"/>
        <v>3.1831285568273415E-5</v>
      </c>
      <c r="E51" s="54">
        <f t="shared" si="3"/>
        <v>1.1831293234010332E-5</v>
      </c>
    </row>
    <row r="54" spans="1:9" x14ac:dyDescent="0.25">
      <c r="A54" s="5" t="s">
        <v>335</v>
      </c>
      <c r="B54" s="6"/>
      <c r="C54" s="6"/>
      <c r="D54" s="6"/>
      <c r="E54" s="6"/>
    </row>
    <row r="55" spans="1:9" x14ac:dyDescent="0.25">
      <c r="A55" s="7" t="s">
        <v>336</v>
      </c>
      <c r="B55" s="7" t="s">
        <v>337</v>
      </c>
      <c r="C55" s="7" t="s">
        <v>338</v>
      </c>
      <c r="D55" s="7" t="s">
        <v>339</v>
      </c>
      <c r="G55" s="3" t="s">
        <v>3</v>
      </c>
      <c r="H55" s="3" t="s">
        <v>331</v>
      </c>
      <c r="I55" s="3" t="s">
        <v>332</v>
      </c>
    </row>
    <row r="56" spans="1:9" x14ac:dyDescent="0.25">
      <c r="A56" s="27">
        <v>0</v>
      </c>
      <c r="B56" s="31">
        <f t="shared" ref="B56:B68" si="4">$B$18+$C$18*A56</f>
        <v>19.839114804197951</v>
      </c>
      <c r="C56" s="27">
        <v>0</v>
      </c>
      <c r="D56" s="31">
        <f t="shared" ref="D56:D71" si="5">$B$19+$C$19*C56</f>
        <v>9.5903926832891351</v>
      </c>
      <c r="G56" s="10" t="s">
        <v>25</v>
      </c>
      <c r="H56" s="19">
        <f>B23</f>
        <v>16.426999502751713</v>
      </c>
      <c r="I56" s="19">
        <f>B24</f>
        <v>7.2429511130339668</v>
      </c>
    </row>
    <row r="57" spans="1:9" x14ac:dyDescent="0.25">
      <c r="A57" s="27">
        <v>1</v>
      </c>
      <c r="B57" s="31">
        <f t="shared" si="4"/>
        <v>19.36802018431214</v>
      </c>
      <c r="C57" s="27">
        <v>2</v>
      </c>
      <c r="D57" s="31">
        <f t="shared" si="5"/>
        <v>9.3045898414662034</v>
      </c>
      <c r="G57" s="10" t="s">
        <v>340</v>
      </c>
      <c r="H57" s="19">
        <f>Cooperativa!B20</f>
        <v>14.23230192978148</v>
      </c>
      <c r="I57" s="19">
        <f>Cooperativa!B21</f>
        <v>5.692190335412624</v>
      </c>
    </row>
    <row r="58" spans="1:9" x14ac:dyDescent="0.25">
      <c r="A58" s="27">
        <v>2</v>
      </c>
      <c r="B58" s="31">
        <f t="shared" si="4"/>
        <v>18.896925564426333</v>
      </c>
      <c r="C58" s="27">
        <v>4</v>
      </c>
      <c r="D58" s="31">
        <f t="shared" si="5"/>
        <v>9.0187869996432699</v>
      </c>
      <c r="G58" s="10" t="s">
        <v>341</v>
      </c>
      <c r="H58" s="19">
        <f>B41</f>
        <v>13.766666666666667</v>
      </c>
      <c r="I58" s="19">
        <f>C41</f>
        <v>4.333333333333333</v>
      </c>
    </row>
    <row r="59" spans="1:9" x14ac:dyDescent="0.25">
      <c r="A59" s="27">
        <v>3</v>
      </c>
      <c r="B59" s="31">
        <f t="shared" si="4"/>
        <v>18.425830944540522</v>
      </c>
      <c r="C59" s="27">
        <v>6</v>
      </c>
      <c r="D59" s="31">
        <f t="shared" si="5"/>
        <v>8.7329841578203382</v>
      </c>
    </row>
    <row r="60" spans="1:9" x14ac:dyDescent="0.25">
      <c r="A60" s="27">
        <v>4</v>
      </c>
      <c r="B60" s="31">
        <f t="shared" si="4"/>
        <v>17.954736324654711</v>
      </c>
      <c r="C60" s="27">
        <v>8</v>
      </c>
      <c r="D60" s="31">
        <f t="shared" si="5"/>
        <v>8.4471813159974047</v>
      </c>
    </row>
    <row r="61" spans="1:9" x14ac:dyDescent="0.25">
      <c r="A61" s="27">
        <v>5</v>
      </c>
      <c r="B61" s="31">
        <f t="shared" si="4"/>
        <v>17.483641704768903</v>
      </c>
      <c r="C61" s="27">
        <v>10</v>
      </c>
      <c r="D61" s="31">
        <f t="shared" si="5"/>
        <v>8.161378474174473</v>
      </c>
    </row>
    <row r="62" spans="1:9" x14ac:dyDescent="0.25">
      <c r="A62" s="27">
        <v>6</v>
      </c>
      <c r="B62" s="31">
        <f t="shared" si="4"/>
        <v>17.012547084883092</v>
      </c>
      <c r="C62" s="27">
        <v>12</v>
      </c>
      <c r="D62" s="31">
        <f t="shared" si="5"/>
        <v>7.8755756323515413</v>
      </c>
    </row>
    <row r="63" spans="1:9" x14ac:dyDescent="0.25">
      <c r="A63" s="27">
        <v>7</v>
      </c>
      <c r="B63" s="31">
        <f t="shared" si="4"/>
        <v>16.541452464997281</v>
      </c>
      <c r="C63" s="27">
        <v>14</v>
      </c>
      <c r="D63" s="31">
        <f t="shared" si="5"/>
        <v>7.5897727905286088</v>
      </c>
    </row>
    <row r="64" spans="1:9" x14ac:dyDescent="0.25">
      <c r="A64" s="27">
        <v>8</v>
      </c>
      <c r="B64" s="31">
        <f t="shared" si="4"/>
        <v>16.070357845111474</v>
      </c>
      <c r="C64" s="27">
        <v>16</v>
      </c>
      <c r="D64" s="31">
        <f t="shared" si="5"/>
        <v>7.3039699487056762</v>
      </c>
    </row>
    <row r="65" spans="1:4" x14ac:dyDescent="0.25">
      <c r="A65" s="27">
        <v>9</v>
      </c>
      <c r="B65" s="31">
        <f t="shared" si="4"/>
        <v>15.599263225225663</v>
      </c>
      <c r="C65" s="27">
        <v>18</v>
      </c>
      <c r="D65" s="31">
        <f t="shared" si="5"/>
        <v>7.0181671068827436</v>
      </c>
    </row>
    <row r="66" spans="1:4" x14ac:dyDescent="0.25">
      <c r="A66" s="27">
        <v>10</v>
      </c>
      <c r="B66" s="31">
        <f t="shared" si="4"/>
        <v>15.128168605339852</v>
      </c>
      <c r="C66" s="27">
        <v>20</v>
      </c>
      <c r="D66" s="31">
        <f t="shared" si="5"/>
        <v>6.732364265059811</v>
      </c>
    </row>
    <row r="67" spans="1:4" x14ac:dyDescent="0.25">
      <c r="A67" s="27">
        <v>11</v>
      </c>
      <c r="B67" s="31">
        <f t="shared" si="4"/>
        <v>14.657073985454042</v>
      </c>
      <c r="C67" s="27">
        <v>22</v>
      </c>
      <c r="D67" s="31">
        <f t="shared" si="5"/>
        <v>6.4465614232368793</v>
      </c>
    </row>
    <row r="68" spans="1:4" x14ac:dyDescent="0.25">
      <c r="A68" s="27">
        <v>12</v>
      </c>
      <c r="B68" s="31">
        <f t="shared" si="4"/>
        <v>14.185979365568233</v>
      </c>
      <c r="C68" s="27">
        <v>24</v>
      </c>
      <c r="D68" s="31">
        <f t="shared" si="5"/>
        <v>6.1607585814139467</v>
      </c>
    </row>
    <row r="69" spans="1:4" x14ac:dyDescent="0.25">
      <c r="C69" s="27">
        <v>26</v>
      </c>
      <c r="D69" s="31">
        <f t="shared" si="5"/>
        <v>5.8749557395910141</v>
      </c>
    </row>
    <row r="70" spans="1:4" x14ac:dyDescent="0.25">
      <c r="C70" s="27">
        <v>28</v>
      </c>
      <c r="D70" s="31">
        <f t="shared" si="5"/>
        <v>5.5891528977680824</v>
      </c>
    </row>
    <row r="71" spans="1:4" x14ac:dyDescent="0.25">
      <c r="C71" s="27">
        <v>30</v>
      </c>
      <c r="D71" s="31">
        <f t="shared" si="5"/>
        <v>5.3033500559451499</v>
      </c>
    </row>
  </sheetData>
  <mergeCells count="6">
    <mergeCell ref="A13:B13"/>
    <mergeCell ref="C13:D13"/>
    <mergeCell ref="A14:B14"/>
    <mergeCell ref="C14:D14"/>
    <mergeCell ref="A15:B15"/>
    <mergeCell ref="C15:D1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E45"/>
  <sheetViews>
    <sheetView showGridLines="0" zoomScaleNormal="100" workbookViewId="0"/>
  </sheetViews>
  <sheetFormatPr baseColWidth="10" defaultColWidth="8.7109375" defaultRowHeight="15" x14ac:dyDescent="0.25"/>
  <cols>
    <col min="1" max="1" width="38" customWidth="1"/>
    <col min="2" max="5" width="22" customWidth="1"/>
  </cols>
  <sheetData>
    <row r="1" spans="1:5" ht="18" x14ac:dyDescent="0.25">
      <c r="A1" s="1" t="s">
        <v>342</v>
      </c>
    </row>
    <row r="2" spans="1:5" x14ac:dyDescent="0.25">
      <c r="A2" s="2" t="s">
        <v>343</v>
      </c>
    </row>
    <row r="4" spans="1:5" x14ac:dyDescent="0.25">
      <c r="A4" s="5" t="s">
        <v>344</v>
      </c>
      <c r="B4" s="6"/>
      <c r="C4" s="6"/>
      <c r="D4" s="6"/>
      <c r="E4" s="6"/>
    </row>
    <row r="5" spans="1:5" x14ac:dyDescent="0.25">
      <c r="A5" s="3" t="s">
        <v>296</v>
      </c>
      <c r="B5" s="51">
        <f>Nash!B10</f>
        <v>2.8477388733218163</v>
      </c>
    </row>
    <row r="6" spans="1:5" x14ac:dyDescent="0.25">
      <c r="A6" s="3" t="s">
        <v>297</v>
      </c>
      <c r="B6" s="51">
        <f>Nash!D10</f>
        <v>4.9506438136757511</v>
      </c>
    </row>
    <row r="7" spans="1:5" x14ac:dyDescent="0.25">
      <c r="A7" s="3" t="s">
        <v>345</v>
      </c>
      <c r="B7" s="51">
        <f>Nash!B7</f>
        <v>-7.1770814913557426E-2</v>
      </c>
    </row>
    <row r="8" spans="1:5" x14ac:dyDescent="0.25">
      <c r="A8" s="3" t="s">
        <v>346</v>
      </c>
      <c r="B8" s="51">
        <f>Nash!D7</f>
        <v>-0.25810433301141278</v>
      </c>
    </row>
    <row r="9" spans="1:5" x14ac:dyDescent="0.25">
      <c r="A9" s="3" t="s">
        <v>347</v>
      </c>
      <c r="B9" s="52">
        <f>Nash!B8+Nash!D8</f>
        <v>-0.14138864140266855</v>
      </c>
    </row>
    <row r="11" spans="1:5" x14ac:dyDescent="0.25">
      <c r="A11" s="5" t="s">
        <v>348</v>
      </c>
      <c r="B11" s="6"/>
      <c r="C11" s="6"/>
      <c r="D11" s="6"/>
      <c r="E11" s="6"/>
    </row>
    <row r="12" spans="1:5" ht="21.75" customHeight="1" x14ac:dyDescent="0.25">
      <c r="A12" s="63" t="s">
        <v>349</v>
      </c>
      <c r="B12" s="63"/>
      <c r="C12" s="63"/>
      <c r="D12" s="63"/>
      <c r="E12" s="63"/>
    </row>
    <row r="13" spans="1:5" ht="21.75" customHeight="1" x14ac:dyDescent="0.25">
      <c r="A13" s="63" t="s">
        <v>350</v>
      </c>
      <c r="B13" s="63"/>
      <c r="C13" s="63"/>
      <c r="D13" s="63"/>
      <c r="E13" s="63"/>
    </row>
    <row r="14" spans="1:5" x14ac:dyDescent="0.25">
      <c r="A14" s="7" t="s">
        <v>351</v>
      </c>
      <c r="B14" s="7" t="s">
        <v>331</v>
      </c>
      <c r="C14" s="7" t="s">
        <v>332</v>
      </c>
      <c r="D14" s="7" t="s">
        <v>256</v>
      </c>
    </row>
    <row r="15" spans="1:5" x14ac:dyDescent="0.25">
      <c r="A15" s="8" t="s">
        <v>352</v>
      </c>
      <c r="B15" s="52">
        <f>2*B7</f>
        <v>-0.14354162982711485</v>
      </c>
      <c r="C15" s="52">
        <f>B9</f>
        <v>-0.14138864140266855</v>
      </c>
      <c r="D15" s="52">
        <f>-B5</f>
        <v>-2.8477388733218163</v>
      </c>
    </row>
    <row r="16" spans="1:5" x14ac:dyDescent="0.25">
      <c r="A16" s="8" t="s">
        <v>353</v>
      </c>
      <c r="B16" s="52">
        <f>B9</f>
        <v>-0.14138864140266855</v>
      </c>
      <c r="C16" s="52">
        <f>2*B8</f>
        <v>-0.51620866602282556</v>
      </c>
      <c r="D16" s="52">
        <f>-B6</f>
        <v>-4.9506438136757511</v>
      </c>
    </row>
    <row r="17" spans="1:5" x14ac:dyDescent="0.25">
      <c r="A17" s="3" t="s">
        <v>354</v>
      </c>
      <c r="B17" s="52">
        <f>B15*C16-C15*B16</f>
        <v>5.4106685334104787E-2</v>
      </c>
    </row>
    <row r="19" spans="1:5" x14ac:dyDescent="0.25">
      <c r="A19" s="5" t="s">
        <v>355</v>
      </c>
      <c r="B19" s="6"/>
      <c r="C19" s="6"/>
      <c r="D19" s="6"/>
      <c r="E19" s="6"/>
    </row>
    <row r="20" spans="1:5" x14ac:dyDescent="0.25">
      <c r="A20" s="3" t="s">
        <v>356</v>
      </c>
      <c r="B20" s="55">
        <f>(D15*C16-C15*D16)/B17</f>
        <v>14.23230192978148</v>
      </c>
    </row>
    <row r="21" spans="1:5" x14ac:dyDescent="0.25">
      <c r="A21" s="3" t="s">
        <v>357</v>
      </c>
      <c r="B21" s="55">
        <f>(B15*D16-D15*B16)/B17</f>
        <v>5.692190335412624</v>
      </c>
    </row>
    <row r="22" spans="1:5" x14ac:dyDescent="0.25">
      <c r="A22" s="3" t="s">
        <v>358</v>
      </c>
      <c r="B22" s="31">
        <f>Nash!B6+Nash!B7*B20+Nash!B8*B21</f>
        <v>6.9413594380549437</v>
      </c>
    </row>
    <row r="23" spans="1:5" x14ac:dyDescent="0.25">
      <c r="A23" s="3" t="s">
        <v>359</v>
      </c>
      <c r="B23" s="31">
        <f>Nash!D6+Nash!D7*B21+Nash!D8*B20</f>
        <v>8.7315912924479093</v>
      </c>
    </row>
    <row r="24" spans="1:5" x14ac:dyDescent="0.25">
      <c r="A24" s="3" t="s">
        <v>360</v>
      </c>
      <c r="B24" s="56">
        <f>(B22-Nash!B9)*B20</f>
        <v>20.513862711738124</v>
      </c>
    </row>
    <row r="25" spans="1:5" x14ac:dyDescent="0.25">
      <c r="A25" s="3" t="s">
        <v>361</v>
      </c>
      <c r="B25" s="56">
        <f>(B23-Nash!D9)*B21</f>
        <v>13.841080454545482</v>
      </c>
    </row>
    <row r="26" spans="1:5" x14ac:dyDescent="0.25">
      <c r="A26" s="3" t="s">
        <v>362</v>
      </c>
      <c r="B26" s="56">
        <f>B24+B25</f>
        <v>34.354943166283604</v>
      </c>
    </row>
    <row r="27" spans="1:5" x14ac:dyDescent="0.25">
      <c r="A27" s="3" t="s">
        <v>363</v>
      </c>
      <c r="B27" s="53">
        <f>B15*B20+C15*B21-D15</f>
        <v>0</v>
      </c>
      <c r="C27" s="53">
        <f>B16*B20+C16*B21-D16</f>
        <v>0</v>
      </c>
    </row>
    <row r="29" spans="1:5" x14ac:dyDescent="0.25">
      <c r="A29" s="5" t="s">
        <v>364</v>
      </c>
      <c r="B29" s="6"/>
      <c r="C29" s="6"/>
      <c r="D29" s="6"/>
      <c r="E29" s="6"/>
    </row>
    <row r="30" spans="1:5" x14ac:dyDescent="0.25">
      <c r="A30" s="3" t="s">
        <v>365</v>
      </c>
      <c r="B30" s="57" t="str">
        <f>IF(AND(B15&lt;0,C16&lt;0,B17&gt;0),"CUMPLE","REVISAR")</f>
        <v>CUMPLE</v>
      </c>
    </row>
    <row r="32" spans="1:5" x14ac:dyDescent="0.25">
      <c r="A32" s="5" t="s">
        <v>366</v>
      </c>
      <c r="B32" s="6"/>
      <c r="C32" s="6"/>
      <c r="D32" s="6"/>
      <c r="E32" s="6"/>
    </row>
    <row r="33" spans="1:5" x14ac:dyDescent="0.25">
      <c r="A33" s="7" t="s">
        <v>367</v>
      </c>
      <c r="B33" s="7" t="s">
        <v>117</v>
      </c>
      <c r="C33" s="7" t="s">
        <v>118</v>
      </c>
      <c r="D33" s="7" t="s">
        <v>368</v>
      </c>
    </row>
    <row r="34" spans="1:5" x14ac:dyDescent="0.25">
      <c r="A34" s="8" t="s">
        <v>369</v>
      </c>
      <c r="B34" s="19">
        <f>Nash!B27</f>
        <v>19.367089761271174</v>
      </c>
      <c r="C34" s="19">
        <f>Nash!B28</f>
        <v>13.540241278394488</v>
      </c>
      <c r="D34" s="31">
        <f>B34+C34</f>
        <v>32.907331039665664</v>
      </c>
    </row>
    <row r="35" spans="1:5" x14ac:dyDescent="0.25">
      <c r="A35" s="8" t="s">
        <v>370</v>
      </c>
      <c r="B35" s="31">
        <f>B24</f>
        <v>20.513862711738124</v>
      </c>
      <c r="C35" s="31">
        <f>B25</f>
        <v>13.841080454545482</v>
      </c>
      <c r="D35" s="31">
        <f>B35+C35</f>
        <v>34.354943166283604</v>
      </c>
    </row>
    <row r="36" spans="1:5" x14ac:dyDescent="0.25">
      <c r="A36" s="8" t="s">
        <v>371</v>
      </c>
      <c r="B36" s="58">
        <f>B35-B34</f>
        <v>1.1467729504669499</v>
      </c>
      <c r="C36" s="58">
        <f>C35-C34</f>
        <v>0.30083917615099409</v>
      </c>
      <c r="D36" s="58">
        <f>D35-D34</f>
        <v>1.4476121266179405</v>
      </c>
    </row>
    <row r="37" spans="1:5" x14ac:dyDescent="0.25">
      <c r="A37" s="8" t="s">
        <v>372</v>
      </c>
      <c r="B37" s="59">
        <f>B36/B34</f>
        <v>5.9212456006693316E-2</v>
      </c>
      <c r="C37" s="59">
        <f>C36/C34</f>
        <v>2.2218154755560281E-2</v>
      </c>
      <c r="D37" s="59">
        <f>D36/D34</f>
        <v>4.3990566262363404E-2</v>
      </c>
    </row>
    <row r="38" spans="1:5" x14ac:dyDescent="0.25">
      <c r="A38" s="8" t="s">
        <v>373</v>
      </c>
      <c r="B38" s="60">
        <f>B36*Datos_3J!$B$4</f>
        <v>34.403188514008498</v>
      </c>
      <c r="C38" s="60">
        <f>C36*Datos_3J!$B$4</f>
        <v>9.0251752845298228</v>
      </c>
      <c r="D38" s="60">
        <f>D36*Datos_3J!$B$4</f>
        <v>43.428363798538214</v>
      </c>
    </row>
    <row r="39" spans="1:5" x14ac:dyDescent="0.25">
      <c r="A39" s="8" t="s">
        <v>374</v>
      </c>
      <c r="B39" s="72" t="str">
        <f>IF(AND(B36&gt;0,C36&gt;0),"SÍ: ambas ganan, no hace falta pago lateral",IF(D36&gt;0,"Sólo con pago lateral","NO"))</f>
        <v>SÍ: ambas ganan, no hace falta pago lateral</v>
      </c>
      <c r="C39" s="72"/>
      <c r="D39" s="72"/>
    </row>
    <row r="41" spans="1:5" x14ac:dyDescent="0.25">
      <c r="A41" s="5" t="s">
        <v>375</v>
      </c>
      <c r="B41" s="6"/>
      <c r="C41" s="6"/>
      <c r="D41" s="6"/>
      <c r="E41" s="6"/>
    </row>
    <row r="42" spans="1:5" ht="31.5" customHeight="1" x14ac:dyDescent="0.25">
      <c r="A42" s="7" t="s">
        <v>376</v>
      </c>
      <c r="B42" s="7" t="s">
        <v>377</v>
      </c>
      <c r="C42" s="7" t="s">
        <v>378</v>
      </c>
      <c r="D42" s="7" t="s">
        <v>379</v>
      </c>
      <c r="E42" s="7" t="s">
        <v>380</v>
      </c>
    </row>
    <row r="43" spans="1:5" x14ac:dyDescent="0.25">
      <c r="A43" s="61" t="s">
        <v>381</v>
      </c>
      <c r="B43" s="31">
        <f>Nash!B18+Nash!C18*B21</f>
        <v>17.157554561819062</v>
      </c>
      <c r="C43" s="31">
        <f>(Nash!B6+Nash!B7*B43+Nash!B8*B21-Nash!B9)*B43</f>
        <v>21.128012964565738</v>
      </c>
      <c r="D43" s="31">
        <f>(Nash!D6+Nash!D7*B21+Nash!D8*B43-Nash!D9)*B21</f>
        <v>12.612779948890255</v>
      </c>
      <c r="E43" s="58">
        <f>C43-B24</f>
        <v>0.61415025282761349</v>
      </c>
    </row>
    <row r="44" spans="1:5" x14ac:dyDescent="0.25">
      <c r="A44" s="61" t="s">
        <v>382</v>
      </c>
      <c r="B44" s="31">
        <f>Nash!B19+Nash!C19*B20</f>
        <v>7.5565765146823596</v>
      </c>
      <c r="C44" s="31">
        <f>(Nash!D6+Nash!D7*B44+Nash!D8*B20-Nash!D9)*B44</f>
        <v>14.738234552364244</v>
      </c>
      <c r="D44" s="31">
        <f>(Nash!B6+Nash!B7*B20+Nash!B8*B44-Nash!B9)*B20</f>
        <v>18.719554516100601</v>
      </c>
      <c r="E44" s="58">
        <f>C44-B25</f>
        <v>0.89715409781876154</v>
      </c>
    </row>
    <row r="45" spans="1:5" ht="39.75" customHeight="1" x14ac:dyDescent="0.25">
      <c r="A45" s="65" t="s">
        <v>383</v>
      </c>
      <c r="B45" s="65"/>
      <c r="C45" s="65"/>
      <c r="D45" s="65"/>
      <c r="E45" s="65"/>
    </row>
  </sheetData>
  <mergeCells count="4">
    <mergeCell ref="A12:E12"/>
    <mergeCell ref="A13:E13"/>
    <mergeCell ref="B39:D39"/>
    <mergeCell ref="A45:E45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F21"/>
  <sheetViews>
    <sheetView showGridLines="0" zoomScale="70" zoomScaleNormal="70" workbookViewId="0"/>
  </sheetViews>
  <sheetFormatPr baseColWidth="10" defaultColWidth="8.7109375" defaultRowHeight="15" x14ac:dyDescent="0.25"/>
  <cols>
    <col min="1" max="1" width="30" customWidth="1"/>
    <col min="2" max="3" width="20" customWidth="1"/>
    <col min="4" max="4" width="18" customWidth="1"/>
    <col min="5" max="5" width="16" customWidth="1"/>
    <col min="6" max="6" width="18" customWidth="1"/>
  </cols>
  <sheetData>
    <row r="1" spans="1:6" ht="18" x14ac:dyDescent="0.25">
      <c r="A1" s="1" t="s">
        <v>384</v>
      </c>
    </row>
    <row r="2" spans="1:6" x14ac:dyDescent="0.25">
      <c r="A2" s="2" t="s">
        <v>385</v>
      </c>
    </row>
    <row r="4" spans="1:6" ht="33.75" customHeight="1" x14ac:dyDescent="0.25">
      <c r="A4" s="7" t="s">
        <v>367</v>
      </c>
      <c r="B4" s="7" t="s">
        <v>386</v>
      </c>
      <c r="C4" s="7" t="s">
        <v>387</v>
      </c>
      <c r="D4" s="7" t="s">
        <v>340</v>
      </c>
      <c r="E4" s="7" t="s">
        <v>388</v>
      </c>
      <c r="F4" s="7" t="s">
        <v>389</v>
      </c>
    </row>
    <row r="5" spans="1:6" x14ac:dyDescent="0.25">
      <c r="A5" s="3" t="s">
        <v>225</v>
      </c>
      <c r="B5" s="19">
        <f>Datos_Comp!$D$42</f>
        <v>13.766666666666667</v>
      </c>
      <c r="C5" s="19">
        <f>Nash!$B$23</f>
        <v>16.426999502751713</v>
      </c>
      <c r="D5" s="19">
        <f>Cooperativa!$B$20</f>
        <v>14.23230192978148</v>
      </c>
      <c r="E5" s="62">
        <f t="shared" ref="E5:E15" si="0">D5-C5</f>
        <v>-2.1946975729702327</v>
      </c>
      <c r="F5" s="59">
        <f t="shared" ref="F5:F15" si="1">IF(C5=0,0,E5/C5)</f>
        <v>-0.133603070518301</v>
      </c>
    </row>
    <row r="6" spans="1:6" x14ac:dyDescent="0.25">
      <c r="A6" s="3" t="s">
        <v>226</v>
      </c>
      <c r="B6" s="19">
        <f>Datos_Comp!$E$42</f>
        <v>4.333333333333333</v>
      </c>
      <c r="C6" s="19">
        <f>Nash!$B$24</f>
        <v>7.2429511130339668</v>
      </c>
      <c r="D6" s="19">
        <f>Cooperativa!$B$21</f>
        <v>5.692190335412624</v>
      </c>
      <c r="E6" s="62">
        <f t="shared" si="0"/>
        <v>-1.5507607776213428</v>
      </c>
      <c r="F6" s="59">
        <f t="shared" si="1"/>
        <v>-0.21410620524977583</v>
      </c>
    </row>
    <row r="7" spans="1:6" x14ac:dyDescent="0.25">
      <c r="A7" s="3" t="s">
        <v>390</v>
      </c>
      <c r="B7" s="31">
        <f>B5+B6</f>
        <v>18.100000000000001</v>
      </c>
      <c r="C7" s="31">
        <f>C5+C6</f>
        <v>23.66995061578568</v>
      </c>
      <c r="D7" s="31">
        <f>D5+D6</f>
        <v>19.924492265194104</v>
      </c>
      <c r="E7" s="62">
        <f t="shared" si="0"/>
        <v>-3.7454583505915764</v>
      </c>
      <c r="F7" s="59">
        <f t="shared" si="1"/>
        <v>-0.15823684685229972</v>
      </c>
    </row>
    <row r="8" spans="1:6" x14ac:dyDescent="0.25">
      <c r="A8" s="3" t="s">
        <v>227</v>
      </c>
      <c r="B8" s="19">
        <f>Datos_Comp!$F$42</f>
        <v>7.0666666666666664</v>
      </c>
      <c r="C8" s="19">
        <f>Nash!$B$25</f>
        <v>6.6789791408970922</v>
      </c>
      <c r="D8" s="19">
        <f>Cooperativa!$B$22</f>
        <v>6.9413594380549437</v>
      </c>
      <c r="E8" s="62">
        <f t="shared" si="0"/>
        <v>0.26238029715785149</v>
      </c>
      <c r="F8" s="59">
        <f t="shared" si="1"/>
        <v>3.9284491180879733E-2</v>
      </c>
    </row>
    <row r="9" spans="1:6" x14ac:dyDescent="0.25">
      <c r="A9" s="3" t="s">
        <v>228</v>
      </c>
      <c r="B9" s="19">
        <f>Datos_Comp!$G$42</f>
        <v>9.1166666666666671</v>
      </c>
      <c r="C9" s="19">
        <f>Nash!$B$26</f>
        <v>8.1694370660639013</v>
      </c>
      <c r="D9" s="19">
        <f>Cooperativa!$B$23</f>
        <v>8.7315912924479093</v>
      </c>
      <c r="E9" s="62">
        <f t="shared" si="0"/>
        <v>0.56215422638400803</v>
      </c>
      <c r="F9" s="59">
        <f t="shared" si="1"/>
        <v>6.8811868166438833E-2</v>
      </c>
    </row>
    <row r="10" spans="1:6" x14ac:dyDescent="0.25">
      <c r="A10" s="3" t="s">
        <v>391</v>
      </c>
      <c r="B10" s="19">
        <f>Datos_Comp!$H$42</f>
        <v>18.283333333333335</v>
      </c>
      <c r="C10" s="19">
        <f>Nash!$B$27</f>
        <v>19.367089761271174</v>
      </c>
      <c r="D10" s="19">
        <f>Cooperativa!$B$24</f>
        <v>20.513862711738124</v>
      </c>
      <c r="E10" s="62">
        <f t="shared" si="0"/>
        <v>1.1467729504669499</v>
      </c>
      <c r="F10" s="59">
        <f t="shared" si="1"/>
        <v>5.9212456006693316E-2</v>
      </c>
    </row>
    <row r="11" spans="1:6" x14ac:dyDescent="0.25">
      <c r="A11" s="3" t="s">
        <v>392</v>
      </c>
      <c r="B11" s="19">
        <f>Datos_Comp!$I$42</f>
        <v>10.866666666666669</v>
      </c>
      <c r="C11" s="19">
        <f>Nash!$B$28</f>
        <v>13.540241278394488</v>
      </c>
      <c r="D11" s="19">
        <f>Cooperativa!$B$25</f>
        <v>13.841080454545482</v>
      </c>
      <c r="E11" s="62">
        <f t="shared" si="0"/>
        <v>0.30083917615099409</v>
      </c>
      <c r="F11" s="59">
        <f t="shared" si="1"/>
        <v>2.2218154755560281E-2</v>
      </c>
    </row>
    <row r="12" spans="1:6" x14ac:dyDescent="0.25">
      <c r="A12" s="3" t="s">
        <v>393</v>
      </c>
      <c r="B12" s="31">
        <f>B10+B11</f>
        <v>29.150000000000006</v>
      </c>
      <c r="C12" s="31">
        <f>C10+C11</f>
        <v>32.907331039665664</v>
      </c>
      <c r="D12" s="31">
        <f>D10+D11</f>
        <v>34.354943166283604</v>
      </c>
      <c r="E12" s="62">
        <f t="shared" si="0"/>
        <v>1.4476121266179405</v>
      </c>
      <c r="F12" s="59">
        <f t="shared" si="1"/>
        <v>4.3990566262363404E-2</v>
      </c>
    </row>
    <row r="13" spans="1:6" x14ac:dyDescent="0.25">
      <c r="A13" s="3" t="s">
        <v>394</v>
      </c>
      <c r="B13" s="35">
        <f>B10*Datos_3J!$B$4</f>
        <v>548.5</v>
      </c>
      <c r="C13" s="35">
        <f>C10*Datos_3J!$B$4</f>
        <v>581.01269283813519</v>
      </c>
      <c r="D13" s="35">
        <f>D10*Datos_3J!$B$4</f>
        <v>615.41588135214374</v>
      </c>
      <c r="E13" s="60">
        <f t="shared" si="0"/>
        <v>34.403188514008548</v>
      </c>
      <c r="F13" s="59">
        <f t="shared" si="1"/>
        <v>5.9212456006693406E-2</v>
      </c>
    </row>
    <row r="14" spans="1:6" x14ac:dyDescent="0.25">
      <c r="A14" s="3" t="s">
        <v>395</v>
      </c>
      <c r="B14" s="35">
        <f>B11*Datos_3J!$B$4</f>
        <v>326.00000000000006</v>
      </c>
      <c r="C14" s="35">
        <f>C11*Datos_3J!$B$4</f>
        <v>406.20723835183463</v>
      </c>
      <c r="D14" s="35">
        <f>D11*Datos_3J!$B$4</f>
        <v>415.23241363636447</v>
      </c>
      <c r="E14" s="60">
        <f t="shared" si="0"/>
        <v>9.025175284529837</v>
      </c>
      <c r="F14" s="59">
        <f t="shared" si="1"/>
        <v>2.2218154755560316E-2</v>
      </c>
    </row>
    <row r="15" spans="1:6" x14ac:dyDescent="0.25">
      <c r="A15" s="3" t="s">
        <v>396</v>
      </c>
      <c r="B15" s="35">
        <f>B12*Datos_3J!$B$4</f>
        <v>874.50000000000023</v>
      </c>
      <c r="C15" s="35">
        <f>C12*Datos_3J!$B$4</f>
        <v>987.21993118996988</v>
      </c>
      <c r="D15" s="35">
        <f>D12*Datos_3J!$B$4</f>
        <v>1030.648294988508</v>
      </c>
      <c r="E15" s="60">
        <f t="shared" si="0"/>
        <v>43.428363798538157</v>
      </c>
      <c r="F15" s="59">
        <f t="shared" si="1"/>
        <v>4.3990566262363348E-2</v>
      </c>
    </row>
    <row r="17" spans="1:6" x14ac:dyDescent="0.25">
      <c r="A17" s="5" t="s">
        <v>397</v>
      </c>
      <c r="B17" s="6"/>
      <c r="C17" s="6"/>
      <c r="D17" s="6"/>
      <c r="E17" s="6"/>
      <c r="F17" s="6"/>
    </row>
    <row r="18" spans="1:6" ht="43.5" customHeight="1" x14ac:dyDescent="0.25">
      <c r="A18" s="70" t="str">
        <f>"1) Cantidades: en Nash Ana vende "&amp;TEXT(C5,"0.0")&amp;" y Berry "&amp;TEXT(C6,"0.0")&amp;" unid/día; cooperando bajan a "&amp;TEXT(D5,"0.0")&amp;" y "&amp;TEXT(D6,"0.0")&amp;" ("&amp;TEXT(F7,"0.0%")&amp;" en total): cooperar es producir menos para vender más caro."</f>
        <v>1) Cantidades: en Nash Ana vende 16.4 y Berry 7.2 unid/día; cooperando bajan a 14.2 y 5.7 (-15.8% en total): cooperar es producir menos para vender más caro.</v>
      </c>
      <c r="B18" s="70"/>
      <c r="C18" s="70"/>
      <c r="D18" s="70"/>
      <c r="E18" s="70"/>
      <c r="F18" s="70"/>
    </row>
    <row r="19" spans="1:6" ht="43.5" customHeight="1" x14ac:dyDescent="0.25">
      <c r="A19" s="70" t="str">
        <f>"2) Precios: p1 pasa de "&amp;TEXT(C8,"0.00")&amp;" a "&amp;TEXT(D8,"0.00")&amp;" y p2 de "&amp;TEXT(C9,"0.00")&amp;" a "&amp;TEXT(D9,"0.00")&amp;" soles."</f>
        <v>2) Precios: p1 pasa de 6.68 a 6.94 y p2 de 8.17 a 8.73 soles.</v>
      </c>
      <c r="B19" s="70"/>
      <c r="C19" s="70"/>
      <c r="D19" s="70"/>
      <c r="E19" s="70"/>
      <c r="F19" s="70"/>
    </row>
    <row r="20" spans="1:6" ht="43.5" customHeight="1" x14ac:dyDescent="0.25">
      <c r="A20" s="70" t="str">
        <f>"3) Utilidades: Ana "&amp;TEXT(C10,"0.00")&amp;" → "&amp;TEXT(D10,"0.00")&amp;" ("&amp;TEXT(F10,"+0.0%;-0.0%")&amp;"), Berry "&amp;TEXT(C11,"0.00")&amp;" → "&amp;TEXT(D11,"0.00")&amp;" ("&amp;TEXT(F11,"+0.0%;-0.0%")&amp;"); conjunta "&amp;TEXT(C12,"0.00")&amp;" → "&amp;TEXT(D12,"0.00")&amp;" soles/día ("&amp;TEXT(E15,"#,##0")&amp;" soles al mes)."</f>
        <v>3) Utilidades: Ana 19.37 → 20.51 (+5.9%), Berry 13.54 → 13.84 (+2.2%); conjunta 32.91 → 34.35 soles/día (43 soles al mes).</v>
      </c>
      <c r="B20" s="70"/>
      <c r="C20" s="70"/>
      <c r="D20" s="70"/>
      <c r="E20" s="70"/>
      <c r="F20" s="70"/>
    </row>
    <row r="21" spans="1:6" ht="43.5" customHeight="1" x14ac:dyDescent="0.25">
      <c r="A21" s="70" t="str">
        <f>"4) Frente a lo observado (promedio de 30 días): Ana vende "&amp;TEXT(B5,"0.0")&amp;" a S/ "&amp;TEXT(B8,"0.00")&amp;" y Berry "&amp;TEXT(B6,"0.0")&amp;" a S/ "&amp;TEXT(B9,"0.00")&amp;"; sus utilidades diarias observadas ("&amp;TEXT(B10,"0.00")&amp;" y "&amp;TEXT(B11,"0.00")&amp;") quedan "&amp;IF(AND(B10&lt;C10,B11&lt;C11),"por debajo","en torno o por encima")&amp;" de las de Nash ("&amp;TEXT(C10,"0.00")&amp;" y "&amp;TEXT(C11,"0.00")&amp;")."</f>
        <v>4) Frente a lo observado (promedio de 30 días): Ana vende 13.8 a S/ 7.07 y Berry 4.3 a S/ 9.12; sus utilidades diarias observadas (18.28 y 10.87) quedan por debajo de las de Nash (19.37 y 13.54).</v>
      </c>
      <c r="B21" s="70"/>
      <c r="C21" s="70"/>
      <c r="D21" s="70"/>
      <c r="E21" s="70"/>
      <c r="F21" s="70"/>
    </row>
  </sheetData>
  <mergeCells count="4">
    <mergeCell ref="A18:F18"/>
    <mergeCell ref="A19:F19"/>
    <mergeCell ref="A20:F20"/>
    <mergeCell ref="A21:F2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Guía</vt:lpstr>
      <vt:lpstr>Empresas</vt:lpstr>
      <vt:lpstr>Ventas_Ana</vt:lpstr>
      <vt:lpstr>Ventas_Berry</vt:lpstr>
      <vt:lpstr>Ventas_Martina</vt:lpstr>
      <vt:lpstr>Datos_3J</vt:lpstr>
      <vt:lpstr>Terna_Proceso</vt:lpstr>
      <vt:lpstr>Matriz_3J</vt:lpstr>
      <vt:lpstr>Datos_Comp</vt:lpstr>
      <vt:lpstr>Regresión</vt:lpstr>
      <vt:lpstr>Nash</vt:lpstr>
      <vt:lpstr>Cooperativa</vt:lpstr>
      <vt:lpstr>Comparativo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</cp:lastModifiedBy>
  <cp:revision>1</cp:revision>
  <dcterms:created xsi:type="dcterms:W3CDTF">2026-10-09T04:56:26Z</dcterms:created>
  <dcterms:modified xsi:type="dcterms:W3CDTF">2026-10-20T15:06:30Z</dcterms:modified>
  <dc:language>en-US</dc:language>
</cp:coreProperties>
</file>