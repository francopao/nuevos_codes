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ía del proces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<sst xmlns="http://schemas.openxmlformats.org/spreadsheetml/2006/main" count="631" uniqueCount="553">
  <si>
    <t xml:space="preserve">Guía del proceso de Riesgos Físicos de la cartera</t>
  </si>
  <si>
    <t xml:space="preserve">Hoja de apoyo para auditoría. Explica qué hace el script analisis_riesgos_fisicos.py, de dónde sale cada número y cómo se puede rehacer a mano. Elaborada el 29/10/2026 sobre la versión que incluye las 18 empresas con hoja propia, el gráfico de clima contra sector y la ventana del semestre anterior.</t>
  </si>
  <si>
    <t xml:space="preserve">1. La idea en pocas líneas</t>
  </si>
  <si>
    <t xml:space="preserve">En una frase</t>
  </si>
  <si>
    <t xml:space="preserve">Tomamos cuánta plata tiene la AFP en cada emisor, la repartimos entre los distritos donde ese emisor tiene sus activos y le ponemos a cada distrito su nivel de peligro según CENEPRED. Con eso salen el Excel de detalle y el dashboard HTML.</t>
  </si>
  <si>
    <t xml:space="preserve">Una comparación</t>
  </si>
  <si>
    <t xml:space="preserve">Piensa en una torta que hay que repartir entre las sucursales de una cadena. La torta es el monto invertido en el emisor. El tamaño de cada porción depende de un peso físico: producción, potencia instalada, despachos, créditos colocados o un porcentaje de distribución según la hoja de la empresa. Después miramos en qué distrito cayó cada porción y qué tan expuesto está ese distrito a movimientos en masa, inundaciones y sequías.</t>
  </si>
  <si>
    <t xml:space="preserve">Qué se obtiene</t>
  </si>
  <si>
    <t xml:space="preserve">Un Excel con el detalle por empresa y por distrito, y un HTML con cuatro pestañas: Resumen, Renta Variable, Renta Fija y Fenómenos Geofísicos. Las tres primeras traen una tabla tipo pivote y un mapa del Perú. La cuarta compara indicadores del clima con indicadores del sector.</t>
  </si>
  <si>
    <t xml:space="preserve">Qué es el nivel de riesgo</t>
  </si>
  <si>
    <t xml:space="preserve">CENEPRED califica cada distrito de 1 a 5 en tres peligros: movimientos en masa, inundación y sequías severas. Para la tabla pivote tomamos el puntaje más alto de los tres como nivel del distrito y solo mostramos los niveles 5, 4 y 3. Los niveles 1 y 2 se consideran leves.</t>
  </si>
  <si>
    <t xml:space="preserve">Cómo leer esta hoja</t>
  </si>
  <si>
    <t xml:space="preserve">El orden es: archivos, flujo, fuentes por sector, un ejemplo con fórmulas que se puede recalcular, las 18 empresas con hoja propia, equivalencias de nombres, el gráfico de Fenómenos Geofísicos, valores de control, puntos abiertos y una lista de comprobación para marcar durante la auditoría. Las celdas en azul son datos de ejemplo o valores de control escritos a mano. Las celdas en negro con fórmula se recalculan solas.</t>
  </si>
  <si>
    <t xml:space="preserve">2. Archivos de entrada y salida</t>
  </si>
  <si>
    <t xml:space="preserve">N°</t>
  </si>
  <si>
    <t xml:space="preserve">Archivo</t>
  </si>
  <si>
    <t xml:space="preserve">Ruta</t>
  </si>
  <si>
    <t xml:space="preserve">Hojas o columnas que se usan</t>
  </si>
  <si>
    <t xml:space="preserve">Para qué se usa</t>
  </si>
  <si>
    <t xml:space="preserve">Variable de entorno u observación</t>
  </si>
  <si>
    <t xml:space="preserve">Riesgos físicos (mapa distrital)</t>
  </si>
  <si>
    <t xml:space="preserve">C:\Users\usuario\OneDrive\Desktop\AFP INTEGRA\ESG\Riesgos Fisicos\2026\Riesgos Fisicos (Mapa Distrital) - 2026.xlsx</t>
  </si>
  <si>
    <t xml:space="preserve">Valorización de Instrumentos (H nombre G&amp;P, M VALOR_VECTOR_LOCAL, S TIPO_RENTA); Cenepred; Centrales Electricas; las 18 hojas de empresa.</t>
  </si>
  <si>
    <t xml:space="preserve">Monto invertido por emisor, puntajes CENEPRED por distrito, ubicación de centrales y plantas, y ubicaciones y pesos de las 18 empresas.</t>
  </si>
  <si>
    <t xml:space="preserve">Carpeta base: RF_BASE.</t>
  </si>
  <si>
    <t xml:space="preserve">Producción minera anual</t>
  </si>
  <si>
    <t xml:space="preserve">C:\Users\usuario\OneDrive\Desktop\AFP INTEGRA\ESG\Riesgos Fisicos\2026\Output\Producción Minera Ene - Dic 2025.xlsx</t>
  </si>
  <si>
    <t xml:space="preserve">Hoja INFORMACION GENERAL, encabezado en la fila 4: Mineral, Unidad de medida, Etapa, Proceso, Estrato, Titular, Unidad minera, Departamento, Provincia, Distrito y ENERO a DICIEMBRE.</t>
  </si>
  <si>
    <t xml:space="preserve">Peso de las mineras y su ubicación por distrito.</t>
  </si>
  <si>
    <t xml:space="preserve">PROD_DIR dentro del script.</t>
  </si>
  <si>
    <t xml:space="preserve">Créditos por distrito (bancos)</t>
  </si>
  <si>
    <t xml:space="preserve">C:\Users\usuario\OneDrive\Desktop\AFP INTEGRA\B-2358-resumen-012026.xlsx</t>
  </si>
  <si>
    <t xml:space="preserve">Empresa, Departamento, Provincia, Distrito, Total_Creditos_Suma.</t>
  </si>
  <si>
    <t xml:space="preserve">Peso de los bancos y su ubicación.</t>
  </si>
  <si>
    <t xml:space="preserve">RF_FIN. Es el resumen ya procesado, no el B-2358 crudo de la SBS.</t>
  </si>
  <si>
    <t xml:space="preserve">BD Utilities</t>
  </si>
  <si>
    <t xml:space="preserve">C:\Users\usuario\OneDrive\Desktop\AFP INTEGRA\Docs privados\Proyecto Inputs Macro\BD Utilities.xlsm</t>
  </si>
  <si>
    <t xml:space="preserve">Hoja BD ptf, filas con Tipo igual a POTENCIA EFECTIVA.</t>
  </si>
  <si>
    <t xml:space="preserve">MW por central (peso) y serie mensual del gráfico.</t>
  </si>
  <si>
    <t xml:space="preserve">RF_MACRO.</t>
  </si>
  <si>
    <t xml:space="preserve">BD Construcción</t>
  </si>
  <si>
    <t xml:space="preserve">C:\Users\usuario\OneDrive\Desktop\AFP INTEGRA\Docs privados\Proyecto Inputs Macro\BD Construcción.xlsm</t>
  </si>
  <si>
    <t xml:space="preserve">Hoja Despachos.</t>
  </si>
  <si>
    <t xml:space="preserve">Despachos de cemento (peso) y serie mensual del gráfico.</t>
  </si>
  <si>
    <t xml:space="preserve">BD Mineria</t>
  </si>
  <si>
    <t xml:space="preserve">C:\Users\usuario\OneDrive\Desktop\AFP INTEGRA\Docs privados\Proyecto Inputs Macro\BD Mineria.xlsm</t>
  </si>
  <si>
    <t xml:space="preserve">Hoja BD Prod: fila 1 con las fechas, B Mineral, C Etapa, E Titular.</t>
  </si>
  <si>
    <t xml:space="preserve">Solo la serie mensual del gráfico de Fenómenos Geofísicos. No tiene distrito, por eso no sirve para el mapa.</t>
  </si>
  <si>
    <t xml:space="preserve">Indicadores climáticos</t>
  </si>
  <si>
    <t xml:space="preserve">C:\Users\usuario\OneDrive\Desktop\AFP INTEGRA\ESG\Riesgos Fisicos\2026\FEN\Indicadores\indicadores_franco.xlsx</t>
  </si>
  <si>
    <t xml:space="preserve">Hojas ICEN, ITCP, LABCOS, MEIv2, ONI y ERSST5 (de ERSST5 salen NINO1+2 y ERSSTv5).</t>
  </si>
  <si>
    <t xml:space="preserve">Series del clima del gráfico.</t>
  </si>
  <si>
    <t xml:space="preserve">FEN_IND_DIR dentro del script.</t>
  </si>
  <si>
    <t xml:space="preserve">BD SBS</t>
  </si>
  <si>
    <t xml:space="preserve">C:\Users\usuario\OneDrive\Desktop\AFP INTEGRA\ESG\Riesgos Fisicos\2026\FEN\Indicadores\BD SBS.xlsx</t>
  </si>
  <si>
    <t xml:space="preserve">Hoja indicadores SBS: Fecha, Empresa, Tipo, Indicador, Valor.</t>
  </si>
  <si>
    <t xml:space="preserve">Indicadores financieros de los bancos del gráfico.</t>
  </si>
  <si>
    <t xml:space="preserve">ENFEN</t>
  </si>
  <si>
    <t xml:space="preserve">C:\Users\usuario\OneDrive\Desktop\AFP INTEGRA\ESG\Riesgos Fisicos\2026\FEN\ENFEN\ENFEN_Comunicados_Resumen.xlsx</t>
  </si>
  <si>
    <t xml:space="preserve">Hoja Comunicados ENFEN: columna A Fecha, columna F Estado de Alerta.</t>
  </si>
  <si>
    <t xml:space="preserve">Meses con alerta de El Niño o La Niña.</t>
  </si>
  <si>
    <t xml:space="preserve">GeoJSON distrital</t>
  </si>
  <si>
    <t xml:space="preserve">C:\Users\usuario\OneDrive\Desktop\AFP INTEGRA\ESG\Riesgos Fisicos\2026\Inputs\peru_distritos.geojson</t>
  </si>
  <si>
    <t xml:space="preserve">Propiedades IDDIST, NOMBDEP, NOMBPROV, NOMBDIST.</t>
  </si>
  <si>
    <t xml:space="preserve">Convertir nombres de distrito a UBIGEO y pintar el mapa.</t>
  </si>
  <si>
    <t xml:space="preserve">Si el archivo no existe, el script lo descarga de GitHub (juaneladio/peru-geojson) y le suma un complemento propio de distritos.</t>
  </si>
  <si>
    <t xml:space="preserve">Logo</t>
  </si>
  <si>
    <t xml:space="preserve">C:\Users\usuario\OneDrive\Desktop\AFP INTEGRA\Docs privados\ZODA\shortcut\integra_logo.png</t>
  </si>
  <si>
    <t xml:space="preserve">Se embebe en Base64 en el HTML. Si falta, usa un logo de texto de respaldo.</t>
  </si>
  <si>
    <t xml:space="preserve">RF_LOGO.</t>
  </si>
  <si>
    <t xml:space="preserve">Salidas</t>
  </si>
  <si>
    <t xml:space="preserve">C:\Users\usuario\OneDrive\Desktop\AFP INTEGRA\ESG\Riesgos Fisicos\2026\Inputs</t>
  </si>
  <si>
    <t xml:space="preserve">Riesgos_Fisicos_Cartera_AAAAMMDD_HHMM.xlsx y Mapa_Riesgos_Fisicos_AAAAMMDD_HHMM.html</t>
  </si>
  <si>
    <t xml:space="preserve">Excel de detalle y dashboard HTML en un solo archivo, portable por correo.</t>
  </si>
  <si>
    <t xml:space="preserve">3. Flujo del proceso, paso a paso</t>
  </si>
  <si>
    <t xml:space="preserve">Paso</t>
  </si>
  <si>
    <t xml:space="preserve">Qué hace</t>
  </si>
  <si>
    <t xml:space="preserve">De dónde sale</t>
  </si>
  <si>
    <t xml:space="preserve">Regla que aplica</t>
  </si>
  <si>
    <t xml:space="preserve">Cómo comprobarlo a mano</t>
  </si>
  <si>
    <t xml:space="preserve">Leer lo invertido en cada emisor</t>
  </si>
  <si>
    <t xml:space="preserve">Suma cuánto vale la cartera por emisor, separando renta variable y renta fija.</t>
  </si>
  <si>
    <t xml:space="preserve">Hoja Valorización de Instrumentos: nombre en la columna H (Nombre G&amp;P), monto en la M (VALOR_VECTOR_LOCAL), clase en la S (TIPO_RENTA).</t>
  </si>
  <si>
    <t xml:space="preserve">Cada nombre de la columna H se traduce a un emisor con las equivalencias de la sección 7. Lo que no tiene equivalencia no entra. La columna S decide si va a Renta Variable o a Renta Fija.</t>
  </si>
  <si>
    <t xml:space="preserve">Filtra la hoja por el nombre del emisor y suma la columna M. Debe coincidir con la columna Exposición cartera de la hoja Resumen del Excel de salida.</t>
  </si>
  <si>
    <t xml:space="preserve">Leer el peso físico de cada emisor</t>
  </si>
  <si>
    <t xml:space="preserve">Obtiene dónde tiene activos cada emisor y cuánto pesa cada ubicación.</t>
  </si>
  <si>
    <t xml:space="preserve">Depende del sector. Ver sección 4.</t>
  </si>
  <si>
    <t xml:space="preserve">El peso solo sirve para repartir: se usa en proporción, no en valor absoluto.</t>
  </si>
  <si>
    <t xml:space="preserve">Abre la fuente del sector y confirma que ubicación y peso de un activo coinciden con la hoja de ese emisor en el Excel de salida.</t>
  </si>
  <si>
    <t xml:space="preserve">Ubicar cada activo en un distrito</t>
  </si>
  <si>
    <t xml:space="preserve">Convierte Departamento, Provincia y Distrito en el UBIGEO de 6 dígitos.</t>
  </si>
  <si>
    <t xml:space="preserve">GeoJSON distrital y las tres columnas de ubicación de cada fuente.</t>
  </si>
  <si>
    <t xml:space="preserve">Orden de prueba: zona en el extranjero (se excluye sin contarla como error), corrección manual (OVERRIDE_UBIGEO), coincidencia exacta de los tres nombres y, como respaldo, Departamento más Distrito si es único. Se comparan sin tildes ni mayúsculas y se aceptan alias, por ejemplo Pueblo Libre y Magdalena Vieja.</t>
  </si>
  <si>
    <t xml:space="preserve">Mira en consola las líneas NO geocodificadas y la hoja No mapeados del Excel. Cada fila que aparece ahí es peso que no se pudo ubicar.</t>
  </si>
  <si>
    <t xml:space="preserve">Repartir el monto entre distritos</t>
  </si>
  <si>
    <t xml:space="preserve">Divide el monto del emisor entre los distritos donde tiene activos, en proporción a su peso.</t>
  </si>
  <si>
    <t xml:space="preserve">Monto del paso 1 y pesos del paso 2.</t>
  </si>
  <si>
    <t xml:space="preserve">Exposición del distrito = monto del emisor × peso del distrito ÷ suma de pesos del emisor (método tmf_share). Como se divide entre la suma, los pesos no tienen que sumar 1.
Las filas sin ubicar no entran al reparto: su parte se redistribuye entre los distritos que sí se ubicaron, así que el monto total del emisor se conserva. Si un emisor no tiene ninguna fila ubicada, desaparece del mapa. Si la suma de pesos es cero, el reparto es en partes iguales.</t>
  </si>
  <si>
    <t xml:space="preserve">Haz la cuenta de la sección 5 con un emisor real y compara con la hoja de ese emisor en el Excel de salida.</t>
  </si>
  <si>
    <t xml:space="preserve">Asignar el nivel de riesgo al distrito</t>
  </si>
  <si>
    <t xml:space="preserve">Pone a cada distrito su nivel de 1 a 5.</t>
  </si>
  <si>
    <t xml:space="preserve">Hoja Cenepred del archivo de Riesgos: una fila con los UBIGEO y tres filas de peligro (Movimientos de Masa, Inundación, Sequías Severas).</t>
  </si>
  <si>
    <t xml:space="preserve">Nivel = el puntaje más alto de los tres peligros (modo max, el más conservador). Existe el modo comb (promedio redondeado), hoy apagado. Las columnas de texto tipo Alto o Muy bajo que traen algunas hojas de empresa no se usan.</t>
  </si>
  <si>
    <t xml:space="preserve">Busca el UBIGEO en la hoja Cenepred, toma los tres puntajes y quédate con el mayor.</t>
  </si>
  <si>
    <t xml:space="preserve">Armar AUM Total</t>
  </si>
  <si>
    <t xml:space="preserve">Mide qué parte de toda la cartera está expuesta en cada nivel de riesgo.</t>
  </si>
  <si>
    <t xml:space="preserve">Montos por distrito filtrados por nivel. Denominador: suma completa de la columna M de la clase elegida.</t>
  </si>
  <si>
    <t xml:space="preserve">Un número por nivel (5, 4 y 3): monto expuesto de todos los emisores en ese nivel ÷ AUM de la cartera. El denominador incluye todos los instrumentos, estén o no ligados a un activo físico.</t>
  </si>
  <si>
    <t xml:space="preserve">Suma los montos de los emisores de un nivel en la tabla y divide entre el total de la columna M (o solo RV o solo RF, según la pestaña).</t>
  </si>
  <si>
    <t xml:space="preserve">Armar AUM por Emisor</t>
  </si>
  <si>
    <t xml:space="preserve">Mide qué parte de lo invertido en un emisor está expuesta en ese nivel.</t>
  </si>
  <si>
    <t xml:space="preserve">Monto del emisor en el nivel. Denominador: total del emisor (renta variable más renta fija).</t>
  </si>
  <si>
    <t xml:space="preserve">Una fila por emisor y nivel. En las pestañas Renta Variable y Renta Fija el numerador es solo la parte de esa clase, pero el denominador sigue siendo el total del emisor.</t>
  </si>
  <si>
    <t xml:space="preserve">Divide el monto de la fila entre la exposición total del emisor (hoja Resumen del Excel).</t>
  </si>
  <si>
    <t xml:space="preserve">Separar Renta Variable y Renta Fija</t>
  </si>
  <si>
    <t xml:space="preserve">Reutiliza el mismo reparto por distrito, multiplicado por la fracción de cada clase.</t>
  </si>
  <si>
    <t xml:space="preserve">Columna S de Valorización.</t>
  </si>
  <si>
    <t xml:space="preserve">Monto del distrito × (monto del emisor en la clase ÷ monto total del emisor). La geografía es la misma en las tres pestañas, solo cambia la escala.</t>
  </si>
  <si>
    <t xml:space="preserve">Mira el segundo bloque del ejemplo de la sección 5.</t>
  </si>
  <si>
    <t xml:space="preserve">Ventana de tiempo</t>
  </si>
  <si>
    <t xml:space="preserve">Define qué meses se suman para el peso de minería, utilities y construcción.</t>
  </si>
  <si>
    <t xml:space="preserve">Fecha de hoy, o SEMESTRE_REF si está fijado en el script.</t>
  </si>
  <si>
    <t xml:space="preserve">Si la ejecución es de enero a junio, se suman julio a diciembre del año anterior. Si es de julio a diciembre, se suman enero a junio del año en curso. Las empresas con hoja propia no dependen del tiempo.</t>
  </si>
  <si>
    <t xml:space="preserve">Revisa en consola la línea que dice peso = suma del semestre anterior y los avisos de meses faltantes. Ver punto abierto 2.</t>
  </si>
  <si>
    <t xml:space="preserve">Generar las salidas</t>
  </si>
  <si>
    <t xml:space="preserve">Escribe el Excel y el HTML.</t>
  </si>
  <si>
    <t xml:space="preserve">Todo lo anterior.</t>
  </si>
  <si>
    <t xml:space="preserve">El HTML es un solo archivo con estilos, scripts y logo incluidos, y un pie con las fuentes y la fecha de actualización.</t>
  </si>
  <si>
    <t xml:space="preserve">Abre ambos archivos y revisa que el Excel no tenga celdas con error.</t>
  </si>
  <si>
    <t xml:space="preserve">4. De dónde sale el peso en cada sector</t>
  </si>
  <si>
    <t xml:space="preserve">Sector</t>
  </si>
  <si>
    <t xml:space="preserve">Empresas</t>
  </si>
  <si>
    <t xml:space="preserve">Archivo y hoja</t>
  </si>
  <si>
    <t xml:space="preserve">Qué se usa como peso</t>
  </si>
  <si>
    <t xml:space="preserve">Cómo se ubica y qué ventana de tiempo tiene</t>
  </si>
  <si>
    <t xml:space="preserve">Minería</t>
  </si>
  <si>
    <t xml:space="preserve">Buenaventura, Volcan, Minsur, Nexa Resources Perú, Hochschild, Cerro Verde, Hudbay.</t>
  </si>
  <si>
    <t xml:space="preserve">Producción Minera Ene - Dic 2025.xlsx, hoja INFORMACION GENERAL, encabezado en la fila 4.</t>
  </si>
  <si>
    <t xml:space="preserve">Producción convertida a TMF. Se suman las columnas mensuales del semestre anterior de cada fila. Conversión: TMF por 1, gramos finos entre 1,000,000 y kilos finos entre 1,000.</t>
  </si>
  <si>
    <t xml:space="preserve">Departamento, Provincia y Distrito de cada fila. Entran todas las etapas del archivo, no solo concentración (punto abierto 4).</t>
  </si>
  <si>
    <t xml:space="preserve">Financiero</t>
  </si>
  <si>
    <t xml:space="preserve">Credicorp (BCP y Mibanco), Intercorp Perú (Interbank) y BBVA.</t>
  </si>
  <si>
    <t xml:space="preserve">B-2358-resumen-012026.xlsx, resumen ya procesado.</t>
  </si>
  <si>
    <t xml:space="preserve">Créditos colocados por distrito (miles de S/). El crédito cumple el papel que la producción cumple en minería.</t>
  </si>
  <si>
    <t xml:space="preserve">Departamento, Provincia y Distrito del resumen. Sin ventana de tiempo, es el corte del archivo. Los bancos del archivo sin equivalencia se avisan en consola.</t>
  </si>
  <si>
    <t xml:space="preserve">Utilities</t>
  </si>
  <si>
    <t xml:space="preserve">Orygen, Engie y Orazen (en la base figura como ORAZUL ENERGY PERÚ). Pluz Energía también está en este sector, pero con peso en porcentaje (sección 6).</t>
  </si>
  <si>
    <t xml:space="preserve">BD Utilities.xlsm, hoja BD ptf, filas con Tipo igual a POTENCIA EFECTIVA.</t>
  </si>
  <si>
    <t xml:space="preserve">Potencia efectiva en MW de cada central, sumada sobre los meses del semestre anterior. Una central dada de baja aporta los meses que estuvo activa.</t>
  </si>
  <si>
    <t xml:space="preserve">Ubicación de cada central en la hoja Centrales Electricas del archivo de Riesgos. Ventana: semestre anterior con fechas reales; avisa los meses que falten.</t>
  </si>
  <si>
    <t xml:space="preserve">Construcción</t>
  </si>
  <si>
    <t xml:space="preserve">Unacem y Pacasmayo.</t>
  </si>
  <si>
    <t xml:space="preserve">BD Construcción.xlsm, hoja Despachos.</t>
  </si>
  <si>
    <t xml:space="preserve">Despachos de cemento (MT, miles de toneladas) por planta, semestre anterior.</t>
  </si>
  <si>
    <t xml:space="preserve">Ubicación de cada planta en la hoja Centrales Electricas. La fila Pacasmayo - Pacasmayo + Piura agrega dos plantas y se parte 50 y 50 entre Planta de Pacasmayo y Pacasmayo - Piura.</t>
  </si>
  <si>
    <t xml:space="preserve">Empresas con hoja propia</t>
  </si>
  <si>
    <t xml:space="preserve">18 empresas de Consumo, Salud, Infraestructura, Educación y Energía, y Pluz Energía en Utilities (sección 6).</t>
  </si>
  <si>
    <t xml:space="preserve">Una hoja por empresa en el archivo de Riesgos.</t>
  </si>
  <si>
    <t xml:space="preserve">Porcentaje de distribución de cada ubicación (columna de peso de la hoja). Los pesos se normalizan, así que no necesitan sumar 1.</t>
  </si>
  <si>
    <t xml:space="preserve">Departamento, Provincia y Distrito de la misma hoja. No depende de ninguna ventana de tiempo.</t>
  </si>
  <si>
    <t xml:space="preserve">5. Ejemplo numérico con fórmulas</t>
  </si>
  <si>
    <t xml:space="preserve">Los números son inventados y solo sirven para ver la mecánica. Cambia las celdas azules y todo se recalcula. Se calcula un emisor con tres distritos, primero para la pestaña Resumen y después para Renta Variable.</t>
  </si>
  <si>
    <t xml:space="preserve">Monto invertido en el emisor (S/)</t>
  </si>
  <si>
    <t xml:space="preserve">AUM total de la cartera (S/)</t>
  </si>
  <si>
    <t xml:space="preserve">Parte del emisor en renta variable (S/)</t>
  </si>
  <si>
    <t xml:space="preserve">AUM de renta variable de la cartera (S/)</t>
  </si>
  <si>
    <t xml:space="preserve">Distrito</t>
  </si>
  <si>
    <t xml:space="preserve">Peso físico del distrito</t>
  </si>
  <si>
    <t xml:space="preserve">Nivel de riesgo (el más alto de los tres peligros)</t>
  </si>
  <si>
    <t xml:space="preserve">Exposición asignada (S/)</t>
  </si>
  <si>
    <t xml:space="preserve">¿Entra a la tabla pivote? (nivel 3, 4 o 5)</t>
  </si>
  <si>
    <t xml:space="preserve">Distrito A</t>
  </si>
  <si>
    <t xml:space="preserve">Distrito B</t>
  </si>
  <si>
    <t xml:space="preserve">Distrito C</t>
  </si>
  <si>
    <t xml:space="preserve">Total repartido</t>
  </si>
  <si>
    <t xml:space="preserve">Lo que se vería en la pestaña Resumen</t>
  </si>
  <si>
    <t xml:space="preserve">Nivel</t>
  </si>
  <si>
    <t xml:space="preserve">Monto del emisor en ese nivel (S/)</t>
  </si>
  <si>
    <t xml:space="preserve">AUM por Emisor: monto del nivel ÷ monto del emisor</t>
  </si>
  <si>
    <t xml:space="preserve">AUM Total, aporte de este emisor: monto del nivel ÷ AUM de la cartera</t>
  </si>
  <si>
    <t xml:space="preserve">Lectura</t>
  </si>
  <si>
    <t xml:space="preserve">La misma cuenta en la pestaña Renta Variable</t>
  </si>
  <si>
    <t xml:space="preserve">Monto en renta variable (S/): monto del nivel × (renta variable del emisor ÷ monto del emisor)</t>
  </si>
  <si>
    <t xml:space="preserve">AUM por Emisor: monto RV del nivel ÷ monto TOTAL del emisor</t>
  </si>
  <si>
    <t xml:space="preserve">AUM Total: monto RV del nivel ÷ AUM de renta variable de la cartera</t>
  </si>
  <si>
    <t xml:space="preserve">Fíjate en que AUM por Emisor se divide siempre entre el monto total del emisor (renta variable más renta fija), también en las pestañas Renta Variable y Renta Fija. Por eso en esas pestañas ese porcentaje es más chico que en Resumen. En cambio, AUM Total cambia de denominador según la pestaña.</t>
  </si>
  <si>
    <t xml:space="preserve">6. Empresas con hoja propia</t>
  </si>
  <si>
    <t xml:space="preserve">Cada hoja tiene una fila de encabezados con Departamento, Provincia y Distrito, y a su derecha una columna de peso. El script busca esa fila solo (en las primeras 40 filas), toma el primer bloque de la izquierda si hay bloques repetidos y lee hacia abajo hasta la primera fila vacía. La columna de peso es la primera, a la derecha de Distrito, cuyo encabezado lleve % o diga Distribución, Participación, Porcentaje, Criterio o Peso. Si el peso está vacío en toda la hoja, reparte en partes iguales; si faltan algunos, esas filas pesan cero. Los pesos suman 1 en todas las hojas salvo Aenza (10) y Auna (25).</t>
  </si>
  <si>
    <t xml:space="preserve">N° de hoja</t>
  </si>
  <si>
    <t xml:space="preserve">Hoja en el archivo</t>
  </si>
  <si>
    <t xml:space="preserve">Empresa en el dashboard, sector y quién lo definió</t>
  </si>
  <si>
    <t xml:space="preserve">Nombre en la columna H de Valorización</t>
  </si>
  <si>
    <t xml:space="preserve">Fila del encabezado y columna de peso</t>
  </si>
  <si>
    <t xml:space="preserve">Ubicaciones leídas y observaciones</t>
  </si>
  <si>
    <t xml:space="preserve">1 .Aenza</t>
  </si>
  <si>
    <t xml:space="preserve">Aenza
Infraestructura. Asignado por defecto, editable en EMPRESAS_HOJA</t>
  </si>
  <si>
    <t xml:space="preserve">Aenza</t>
  </si>
  <si>
    <t xml:space="preserve">Fila 1. Columna %</t>
  </si>
  <si>
    <t xml:space="preserve">50 ubicaciones. Se usa el primer bloque, donde cada línea de negocio suma 1 (suma total 10). Hay un segundo bloque con peso por ventas; ver punto abierto 6. Una ubicación sin ubicar (Nasca).</t>
  </si>
  <si>
    <t xml:space="preserve">2. Alicorp</t>
  </si>
  <si>
    <t xml:space="preserve">Alicorp
Consumo. Definido por el analista</t>
  </si>
  <si>
    <t xml:space="preserve">Alicorp</t>
  </si>
  <si>
    <t xml:space="preserve">Fila 1. Participación %</t>
  </si>
  <si>
    <t xml:space="preserve">18 ubicaciones.</t>
  </si>
  <si>
    <t xml:space="preserve">3. Auna</t>
  </si>
  <si>
    <t xml:space="preserve">Auna
Salud. Definido por el analista</t>
  </si>
  <si>
    <t xml:space="preserve">Auna</t>
  </si>
  <si>
    <t xml:space="preserve">Fila 15. Peso Servicios</t>
  </si>
  <si>
    <t xml:space="preserve">15 ubicaciones. Existe también Peso Oncosalud, que no se usa. Suma de pesos 25. Ver punto abierto 5.</t>
  </si>
  <si>
    <t xml:space="preserve">10. Ferreycorp</t>
  </si>
  <si>
    <t xml:space="preserve">Ferreycorp
Infraestructura. Definido por el analista</t>
  </si>
  <si>
    <t xml:space="preserve">Ferreycorp</t>
  </si>
  <si>
    <t xml:space="preserve">Fila 2. Participación %</t>
  </si>
  <si>
    <t xml:space="preserve">47 ubicaciones.</t>
  </si>
  <si>
    <t xml:space="preserve">17. Pluz Energia</t>
  </si>
  <si>
    <t xml:space="preserve">Pluz Energía
Utilities. Definido por el analista</t>
  </si>
  <si>
    <t xml:space="preserve">Pluz Energía</t>
  </si>
  <si>
    <t xml:space="preserve">Fila 6. % Porcentaje</t>
  </si>
  <si>
    <t xml:space="preserve">68 ubicaciones. Es la única empresa con peso en porcentaje dentro de Utilities; ver punto abierto 7.</t>
  </si>
  <si>
    <t xml:space="preserve">18. Puerto Chancay</t>
  </si>
  <si>
    <t xml:space="preserve">Puerto Chancay
Infraestructura. Asignado por defecto, editable en EMPRESAS_HOJA</t>
  </si>
  <si>
    <t xml:space="preserve">Puerto Chancay</t>
  </si>
  <si>
    <t xml:space="preserve">Fila 2. % Porcentaje</t>
  </si>
  <si>
    <t xml:space="preserve">1 ubicación (Chancay, Huaral) con peso 1.</t>
  </si>
  <si>
    <t xml:space="preserve">23. Casa Andina</t>
  </si>
  <si>
    <t xml:space="preserve">Casa Andina
Consumo. Asignado por defecto, editable en EMPRESAS_HOJA</t>
  </si>
  <si>
    <t xml:space="preserve">Casa Andina</t>
  </si>
  <si>
    <t xml:space="preserve">Fila 1. % Criterio (las ubicaciones pesan igual)</t>
  </si>
  <si>
    <t xml:space="preserve">46 ubicaciones. Una sin ubicar (Nasca).</t>
  </si>
  <si>
    <t xml:space="preserve">24. Colegios Peruanos</t>
  </si>
  <si>
    <t xml:space="preserve">Colegios Peruanos
Educación. Asignado por defecto, editable en EMPRESAS_HOJA</t>
  </si>
  <si>
    <t xml:space="preserve">PF Colegios Peruanos</t>
  </si>
  <si>
    <t xml:space="preserve">58 ubicaciones. El nombre de la hoja no coincide con el de la columna H.</t>
  </si>
  <si>
    <t xml:space="preserve">25. Hermes</t>
  </si>
  <si>
    <t xml:space="preserve">Hermes
Infraestructura. Asignado por defecto, editable en EMPRESAS_HOJA</t>
  </si>
  <si>
    <t xml:space="preserve">Hermes</t>
  </si>
  <si>
    <t xml:space="preserve">19 ubicaciones.</t>
  </si>
  <si>
    <t xml:space="preserve">26. Hunt Oil</t>
  </si>
  <si>
    <t xml:space="preserve">Hunt Oil
Energía. Asignado por defecto, editable en EMPRESAS_HOJA</t>
  </si>
  <si>
    <t xml:space="preserve">Hunt Oil</t>
  </si>
  <si>
    <t xml:space="preserve">5 ubicaciones, tres de ellas en Megantoni, que no existe en el GeoJSON. Ver punto abierto 3.</t>
  </si>
  <si>
    <t xml:space="preserve">27. Inca Rail</t>
  </si>
  <si>
    <t xml:space="preserve">Inca Rail
Infraestructura. Asignado por defecto, editable en EMPRESAS_HOJA</t>
  </si>
  <si>
    <t xml:space="preserve">Inca Rail</t>
  </si>
  <si>
    <t xml:space="preserve">Fila 1. % Porcentaje</t>
  </si>
  <si>
    <t xml:space="preserve">4 ubicaciones.</t>
  </si>
  <si>
    <t xml:space="preserve">28. InRetail</t>
  </si>
  <si>
    <t xml:space="preserve">InRetail
Consumo. Asignado por defecto, editable en EMPRESAS_HOJA</t>
  </si>
  <si>
    <t xml:space="preserve">InRetail Shopping Malls, InRetail Consumer e InRetail Peru (se suman los tres)</t>
  </si>
  <si>
    <t xml:space="preserve">21 ubicaciones.</t>
  </si>
  <si>
    <t xml:space="preserve">29. Intursa</t>
  </si>
  <si>
    <t xml:space="preserve">Intursa
Consumo. Asignado por defecto, editable en EMPRESAS_HOJA</t>
  </si>
  <si>
    <t xml:space="preserve">Inversiones Nacionales de Turismo</t>
  </si>
  <si>
    <t xml:space="preserve">Fila 11. % Criterio (Ingresos)</t>
  </si>
  <si>
    <t xml:space="preserve">6 ubicaciones. Peso por ingresos.</t>
  </si>
  <si>
    <t xml:space="preserve">30. Jockey Plaza</t>
  </si>
  <si>
    <t xml:space="preserve">Jockey Plaza
Consumo. Asignado por defecto, editable en EMPRESAS_HOJA</t>
  </si>
  <si>
    <t xml:space="preserve">Jockey Plaza</t>
  </si>
  <si>
    <t xml:space="preserve">2 ubicaciones (Santiago de Surco y Asia). La columna de peso viene vacía: el script reparte en partes iguales y lo avisa en consola.</t>
  </si>
  <si>
    <t xml:space="preserve">31. Lima Expresa</t>
  </si>
  <si>
    <t xml:space="preserve">Lima Expresa
Infraestructura. Asignado por defecto, editable en EMPRESAS_HOJA</t>
  </si>
  <si>
    <t xml:space="preserve">Línea Amarilla</t>
  </si>
  <si>
    <t xml:space="preserve">15 ubicaciones. En la columna H la empresa figura como Línea Amarilla.</t>
  </si>
  <si>
    <t xml:space="preserve">33. Primax</t>
  </si>
  <si>
    <t xml:space="preserve">Primax
Consumo. Asignado por defecto, editable en EMPRESAS_HOJA</t>
  </si>
  <si>
    <t xml:space="preserve">Primax</t>
  </si>
  <si>
    <t xml:space="preserve">Fila 2. % Criterio (las ubicaciones pesan igual)</t>
  </si>
  <si>
    <t xml:space="preserve">217 ubicaciones. Dos sin ubicar (Nasca).</t>
  </si>
  <si>
    <t xml:space="preserve">35. Tecsup</t>
  </si>
  <si>
    <t xml:space="preserve">Tecsup
Educación. Asignado por defecto, editable en EMPRESAS_HOJA</t>
  </si>
  <si>
    <t xml:space="preserve">Tecsup</t>
  </si>
  <si>
    <t xml:space="preserve">3 ubicaciones.</t>
  </si>
  <si>
    <t xml:space="preserve">34. Rutas de Lima</t>
  </si>
  <si>
    <t xml:space="preserve">Rutas de Lima
Infraestructura. Asignado por defecto, editable en EMPRESAS_HOJA</t>
  </si>
  <si>
    <t xml:space="preserve">Rutas de Lima</t>
  </si>
  <si>
    <t xml:space="preserve">7 ubicaciones (peajes).</t>
  </si>
  <si>
    <t xml:space="preserve">En total se leen 602 ubicaciones. La hoja de Valorización tiene dos empresas cuyo nombre en la columna H es distinto al de su hoja (Colegios Peruanos y Lima Expresa) y una que suma tres nombres (InRetail).</t>
  </si>
  <si>
    <t xml:space="preserve">7. Equivalencias de nombres y unidades</t>
  </si>
  <si>
    <t xml:space="preserve">Dónde se aplica</t>
  </si>
  <si>
    <t xml:space="preserve">Nombre en la fuente</t>
  </si>
  <si>
    <t xml:space="preserve">Nombre que usa el script</t>
  </si>
  <si>
    <t xml:space="preserve">Observación</t>
  </si>
  <si>
    <t xml:space="preserve">Unidades del archivo anual de minería</t>
  </si>
  <si>
    <t xml:space="preserve">TMF; Grs. f. (gramos finos); Kg. f. (kilogramos finos)</t>
  </si>
  <si>
    <t xml:space="preserve">Todo se lleva a TMF: por 1; entre 1,000,000; entre 1,000</t>
  </si>
  <si>
    <t xml:space="preserve">Las unidades no reconocidas se excluyen y se avisan en consola.</t>
  </si>
  <si>
    <t xml:space="preserve">Minería, archivo anual (columna TITULAR)</t>
  </si>
  <si>
    <t xml:space="preserve">COMPAÑIA DE MINAS BUENAVENTURA S.A.A.; SOCIEDAD MINERA EL BROCAL S.A.A.</t>
  </si>
  <si>
    <t xml:space="preserve">Buenaventura</t>
  </si>
  <si>
    <t xml:space="preserve">VOLCAN COMPAÑIA MINERA S.A.A.</t>
  </si>
  <si>
    <t xml:space="preserve">Volcan</t>
  </si>
  <si>
    <t xml:space="preserve">MINSUR S.A.; MARCOBRE S.A.C.</t>
  </si>
  <si>
    <t xml:space="preserve">Minsur</t>
  </si>
  <si>
    <t xml:space="preserve">Marcobre se suma a Minsur.</t>
  </si>
  <si>
    <t xml:space="preserve">NEXA RESOURCES PERU S.A.A.; NEXA RESOURCES ATACOCHA S.A.A.; NEXA RESOURCES EL PORVENIR S.A.C.; NEXA RESOURCES CAJAMARQUILLA S.A.</t>
  </si>
  <si>
    <t xml:space="preserve">Nexa Resources Perú</t>
  </si>
  <si>
    <t xml:space="preserve">COMPAÑIA MINERA ARES S.A.C.</t>
  </si>
  <si>
    <t xml:space="preserve">Hochschild</t>
  </si>
  <si>
    <t xml:space="preserve">SOCIEDAD MINERA CERRO VERDE S.A.A.</t>
  </si>
  <si>
    <t xml:space="preserve">Cerro Verde</t>
  </si>
  <si>
    <t xml:space="preserve">HUDBAY PERU S.A.C.</t>
  </si>
  <si>
    <t xml:space="preserve">Hudbay</t>
  </si>
  <si>
    <t xml:space="preserve">Minería, exposición (columna H)</t>
  </si>
  <si>
    <t xml:space="preserve">Nexa Resources</t>
  </si>
  <si>
    <t xml:space="preserve">Los demás nombres de minería ya coinciden con el canónico.</t>
  </si>
  <si>
    <t xml:space="preserve">Banca, créditos (columna Empresa del resumen B-2358)</t>
  </si>
  <si>
    <t xml:space="preserve">BANCO DE CREDITO; MIBANCO</t>
  </si>
  <si>
    <t xml:space="preserve">Credicorp</t>
  </si>
  <si>
    <t xml:space="preserve">Mibanco es subsidiaria de Credicorp.</t>
  </si>
  <si>
    <t xml:space="preserve">INTERBANK</t>
  </si>
  <si>
    <t xml:space="preserve">Intercorp Perú</t>
  </si>
  <si>
    <t xml:space="preserve">BBVA</t>
  </si>
  <si>
    <t xml:space="preserve">Banca, exposición (columna H)</t>
  </si>
  <si>
    <t xml:space="preserve">Credicorp; Banco de Crédito del Perú</t>
  </si>
  <si>
    <t xml:space="preserve">Intercorp Perú; Interbank</t>
  </si>
  <si>
    <t xml:space="preserve">Quedan fuera a propósito BBVA Bancomer (México) y Banco de Crédito e Inversiones (BCI de Chile).</t>
  </si>
  <si>
    <t xml:space="preserve">Utilities, centrales (columna C de BD ptf)</t>
  </si>
  <si>
    <t xml:space="preserve">ORYGEN; ENGIE; ORAZUL ENERGY PERÚ</t>
  </si>
  <si>
    <t xml:space="preserve">Orygen; Engie; Orazen</t>
  </si>
  <si>
    <t xml:space="preserve">En exposición los nombres de la columna H ya coinciden.</t>
  </si>
  <si>
    <t xml:space="preserve">Construcción, despachos (parte antes del guion de la columna C)</t>
  </si>
  <si>
    <t xml:space="preserve">UNACEM; PACASMAYO</t>
  </si>
  <si>
    <t xml:space="preserve">Unacem; Pacasmayo</t>
  </si>
  <si>
    <t xml:space="preserve">Empresas con hoja propia, exposición</t>
  </si>
  <si>
    <t xml:space="preserve">Ver sección 6</t>
  </si>
  <si>
    <t xml:space="preserve">Colegios Peruanos se lee como PF Colegios Peruanos, InRetail suma tres nombres, Intursa se lee como Inversiones Nacionales de Turismo y Lima Expresa como Línea Amarilla.</t>
  </si>
  <si>
    <t xml:space="preserve">Gráfico, minería (columna E TITULAR de BD Prod)</t>
  </si>
  <si>
    <t xml:space="preserve">NEXA ATACOCHA; NEXA CAJAMARQUILLA; NEXA EL PORVENIR; NEXA PERU</t>
  </si>
  <si>
    <t xml:space="preserve">ARES</t>
  </si>
  <si>
    <t xml:space="preserve">BUENAVENTURA; CERRO VERDE; VOLCAN; MINSUR</t>
  </si>
  <si>
    <t xml:space="preserve">Buenaventura; Cerro Verde; Volcan; Minsur</t>
  </si>
  <si>
    <t xml:space="preserve">Hudbay no está en esta lista, por eso no aparece en el gráfico.</t>
  </si>
  <si>
    <t xml:space="preserve">Gráfico, bancos de la SBS</t>
  </si>
  <si>
    <t xml:space="preserve">BCP; BANCO DE CREDITO; BANCO DE CREDITO DEL PERU; MIBANCO</t>
  </si>
  <si>
    <t xml:space="preserve">INTERBANK; BANCO INTERNACIONAL DEL PERU</t>
  </si>
  <si>
    <t xml:space="preserve">BBVA; BBVA CONTINENTAL; BANCO CONTINENTAL; CONTINENTAL</t>
  </si>
  <si>
    <t xml:space="preserve">BBVA Perú</t>
  </si>
  <si>
    <t xml:space="preserve">En el flujo principal el banco se llama BBVA y en el gráfico BBVA Perú. Son flujos separados.</t>
  </si>
  <si>
    <t xml:space="preserve">Geocodificación</t>
  </si>
  <si>
    <t xml:space="preserve">Pueblo Libre; Magdalena Vieja</t>
  </si>
  <si>
    <t xml:space="preserve">Se prueban entre sí como alias</t>
  </si>
  <si>
    <t xml:space="preserve">Corrección manual: Lima, Lima, Pueblo Libre va al UBIGEO 150121.</t>
  </si>
  <si>
    <t xml:space="preserve">8. Gráfico de la pestaña Fenómenos Geofísicos</t>
  </si>
  <si>
    <t xml:space="preserve">Elemento</t>
  </si>
  <si>
    <t xml:space="preserve">Fuente</t>
  </si>
  <si>
    <t xml:space="preserve">indicadores_franco.xlsx. ICEN, ITCP y LABCOS tienen hoja propia con fecha y valor. NINO1+2 y ERSSTv5 salen de la hoja ERSST5 (columnas ANOM_1+2 y ANOM_3.4). MEIv2 viene por año y bimestre. ONI viene por año y temporada.</t>
  </si>
  <si>
    <t xml:space="preserve">MEIv2: cada bimestre se ubica en su segundo mes (DJ en enero, JF en febrero, y así). ONI: cada trimestre móvil se ubica en su mes central (DJF en enero, y así). ICEN es el indicador por defecto.</t>
  </si>
  <si>
    <t xml:space="preserve">Cada indicador tiene su mapeo explícito en CLIMA_FUENTE porque las hojas no tienen la misma estructura.</t>
  </si>
  <si>
    <t xml:space="preserve">Umbrales de categoría</t>
  </si>
  <si>
    <t xml:space="preserve">CLIMA_UMBRALES en el script.</t>
  </si>
  <si>
    <t xml:space="preserve">ICEN: El Niño débil 0.4, moderado 1.0 y fuerte 1.4; La Niña débil -1.0, moderada -1.2 y fuerte -1.4. ONI, ERSSTv5 y NINO1+2: más o menos 0.5, 1.0 y 1.5 (NINO1+2 no tiene línea de La Niña moderada).</t>
  </si>
  <si>
    <t xml:space="preserve">Se dibujan como líneas punteadas con la etiqueta en el margen derecho, fuera del área de las curvas. Los valores de ICEN no tienen fuente citada (punto abierto 8).</t>
  </si>
  <si>
    <t xml:space="preserve">Bancos y limpieza de nombres</t>
  </si>
  <si>
    <t xml:space="preserve">BD SBS.xlsx, hoja indicadores SBS.</t>
  </si>
  <si>
    <t xml:space="preserve">Los nombres de banco e indicador se comparan con una limpieza fuerte: solo letras y números, sin tildes, espacios, barras ni asteriscos. Equivalencias de bancos en la sección 7.</t>
  </si>
  <si>
    <t xml:space="preserve">Así un cambio de espacios, mayúsculas o asteriscos en la fuente de la SBS no rompe el cruce.</t>
  </si>
  <si>
    <t xml:space="preserve">Indicador financiero por defecto</t>
  </si>
  <si>
    <t xml:space="preserve">BD SBS.xlsx.</t>
  </si>
  <si>
    <t xml:space="preserve">Créditos Refinanciados y Reestructurados / Créditos Directos, continuo de 2001 a 2026 en los tres bancos.</t>
  </si>
  <si>
    <t xml:space="preserve">El indicador clásico Créditos Vencidos y en Cobranza Judicial / Colocaciones Brutas solo existe de 1998 a 2000 (25 meses), por eso dejó de ser el default.</t>
  </si>
  <si>
    <t xml:space="preserve">Indicadores fusionados</t>
  </si>
  <si>
    <t xml:space="preserve">La SBS renombró dos indicadores con el tiempo y se unen en una sola serie. Morosidad: Cartera Atrasada / Créditos Directos, Créditos Atrasados / Créditos Directos y Créditos Atrasados (criterio SBS) / Créditos Directos. Provisiones: Provisiones / Cartera Atrasada y Provisiones / Créditos Atrasados. Además quedan ROEA y ROAA.</t>
  </si>
  <si>
    <t xml:space="preserve">Si la SBS vuelve a renombrar algo, se agrega la variante a SBS_FUSION. El script no asume equivalencias nuevas sin revisión.</t>
  </si>
  <si>
    <t xml:space="preserve">BD Mineria.xlsm, hoja BD Prod.</t>
  </si>
  <si>
    <t xml:space="preserve">Suma por empresa y mes de todas las filas con Etapa igual a CONCENTRACIÓN, sin distinguir mineral. Equivalencias en la sección 7.</t>
  </si>
  <si>
    <t xml:space="preserve">No tiene distrito, solo sirve para la serie de tiempo. Tampoco trae unidad de medida (punto abierto 1).</t>
  </si>
  <si>
    <t xml:space="preserve">Utilities y Construcción</t>
  </si>
  <si>
    <t xml:space="preserve">Las mismas bases del peso: BD Utilities (potencia efectiva) y BD Construcción (despachos).</t>
  </si>
  <si>
    <t xml:space="preserve">Serie mensual completa por empresa, no solo el semestre anterior.</t>
  </si>
  <si>
    <t xml:space="preserve">Utilities arranca en 2018 y Construcción en 2000.</t>
  </si>
  <si>
    <t xml:space="preserve">Eventos extraordinarios de El Niño</t>
  </si>
  <si>
    <t xml:space="preserve">EVENTOS_ELNINO en el script.</t>
  </si>
  <si>
    <t xml:space="preserve">Rectángulo rojo sin relleno: El Niño extraordinario de marzo de 1997 a junio de 1998, y El Niño Costero de enero a mayo de 2017.</t>
  </si>
  <si>
    <t xml:space="preserve">El código cita como fuente al ENFEN y a la Comisión Multisectorial ENFEN. Falta contrastar las fechas con el comunicado oficial (punto abierto 9).</t>
  </si>
  <si>
    <t xml:space="preserve">Alertas ENFEN</t>
  </si>
  <si>
    <t xml:space="preserve">ENFEN_Comunicados_Resumen.xlsx, hoja Comunicados ENFEN (Fecha y Estado de Alerta).</t>
  </si>
  <si>
    <t xml:space="preserve">Se descartan No identificado y cualquier estado sin la palabra Alerta. Alerta de El Niño Costero y Alerta de El Niño cuentan igual, y lo mismo con La Niña. Los meses seguidos del mismo tipo se juntan en un área sombreada: naranja para El Niño y azul para La Niña.</t>
  </si>
  <si>
    <t xml:space="preserve">Se ven como áreas de fondo para que no choquen con el rectángulo rojo de los eventos extraordinarios.</t>
  </si>
  <si>
    <t xml:space="preserve">Ejes y fechas</t>
  </si>
  <si>
    <t xml:space="preserve">Código del gráfico.</t>
  </si>
  <si>
    <t xml:space="preserve">Un solo gráfico con dos ejes: a la izquierda el indicador del sector y a la derecha el indicador climático. El eje de fechas arranca en la fecha de inicio más reciente entre las series de línea que se muestran.</t>
  </si>
  <si>
    <t xml:space="preserve">Así una serie corta no queda aplastada junto a una serie de más de 70 años.</t>
  </si>
  <si>
    <t xml:space="preserve">9. Valores de control de la última corrida</t>
  </si>
  <si>
    <t xml:space="preserve">Corresponden a la corrida de validación del 15/06/2026 con el archivo de Riesgos de 18 hojas de empresa. Si cambia la Valorización de Instrumentos, cambian estos montos. Los montos están redondeados al sol.</t>
  </si>
  <si>
    <t xml:space="preserve">Empresa</t>
  </si>
  <si>
    <t xml:space="preserve">Sector asignado</t>
  </si>
  <si>
    <t xml:space="preserve">Exposición en cartera (S/)</t>
  </si>
  <si>
    <t xml:space="preserve">Nota</t>
  </si>
  <si>
    <t xml:space="preserve">Infraestructura</t>
  </si>
  <si>
    <t xml:space="preserve">Consumo</t>
  </si>
  <si>
    <t xml:space="preserve">Salud</t>
  </si>
  <si>
    <t xml:space="preserve">Todo en renta variable.</t>
  </si>
  <si>
    <t xml:space="preserve">Renta variable 28,971,849 y renta fija 60,258,705.</t>
  </si>
  <si>
    <t xml:space="preserve">Colegios Peruanos</t>
  </si>
  <si>
    <t xml:space="preserve">Educación</t>
  </si>
  <si>
    <t xml:space="preserve">Todo en renta fija. Nombre en la columna H: PF Colegios Peruanos.</t>
  </si>
  <si>
    <t xml:space="preserve">Energía</t>
  </si>
  <si>
    <t xml:space="preserve">InRetail</t>
  </si>
  <si>
    <t xml:space="preserve">Suma de tres nombres. Renta variable 472,877,941 y renta fija 279,624,132.</t>
  </si>
  <si>
    <t xml:space="preserve">Intursa</t>
  </si>
  <si>
    <t xml:space="preserve">Todo en renta fija. Nombre en la columna H: Inversiones Nacionales de Turismo.</t>
  </si>
  <si>
    <t xml:space="preserve">Lima Expresa</t>
  </si>
  <si>
    <t xml:space="preserve">Nombre en la columna H: Línea Amarilla.</t>
  </si>
  <si>
    <t xml:space="preserve">Todo en renta fija.</t>
  </si>
  <si>
    <t xml:space="preserve">Total (suma)</t>
  </si>
  <si>
    <t xml:space="preserve">Suma de las 18 empresas.</t>
  </si>
  <si>
    <t xml:space="preserve">Total que reportó el log</t>
  </si>
  <si>
    <t xml:space="preserve">Línea Exposición empresas-hoja de la consola.</t>
  </si>
  <si>
    <t xml:space="preserve">Diferencia</t>
  </si>
  <si>
    <t xml:space="preserve">Debe ser cero o de pocos soles por redondeo.</t>
  </si>
  <si>
    <t xml:space="preserve">Concepto</t>
  </si>
  <si>
    <t xml:space="preserve">Valor de la corrida</t>
  </si>
  <si>
    <t xml:space="preserve">Cómo se verifica</t>
  </si>
  <si>
    <t xml:space="preserve">Exposición del sector minería</t>
  </si>
  <si>
    <t xml:space="preserve">S/ 2,990,649,993 en 6 empresas.</t>
  </si>
  <si>
    <t xml:space="preserve">Línea Exposición de la consola; coincide con la suma de Exposición cartera de las mineras en la hoja Resumen.</t>
  </si>
  <si>
    <t xml:space="preserve">602 ubicaciones leídas, 7 sin ubicar, 351 cruces distrito por empresa. 18 de 18 empresas con riesgo cruzado.</t>
  </si>
  <si>
    <t xml:space="preserve">Líneas de consola de las empresas con hoja propia y hoja No mapeados.</t>
  </si>
  <si>
    <t xml:space="preserve">AUM cruzado de las 18 empresas</t>
  </si>
  <si>
    <t xml:space="preserve">S/ 2,859,422,547.</t>
  </si>
  <si>
    <t xml:space="preserve">Debe coincidir con la tabla de arriba, con diferencia de pocos soles por redondeo.</t>
  </si>
  <si>
    <t xml:space="preserve">Excel de salida</t>
  </si>
  <si>
    <t xml:space="preserve">969 fórmulas y 0 errores al recalcular.</t>
  </si>
  <si>
    <t xml:space="preserve">Abrir el Excel de salida y revisar que no haya celdas con error.</t>
  </si>
  <si>
    <t xml:space="preserve">Serie del gráfico, minería</t>
  </si>
  <si>
    <t xml:space="preserve">6 empresas, de 2017-01 a 2026-02.</t>
  </si>
  <si>
    <t xml:space="preserve">Consola: línea Minería (BD Prod, serie mensual).</t>
  </si>
  <si>
    <t xml:space="preserve">Serie del gráfico, Utilities</t>
  </si>
  <si>
    <t xml:space="preserve">3 empresas (Engie, Orazen, Orygen), de 2018-01 a 2026-03.</t>
  </si>
  <si>
    <t xml:space="preserve">Consola: línea Utilities (serie mensual).</t>
  </si>
  <si>
    <t xml:space="preserve">Serie del gráfico, Construcción</t>
  </si>
  <si>
    <t xml:space="preserve">2 empresas (Unacem y Pacasmayo), de 2000-01 a 2026-02.</t>
  </si>
  <si>
    <t xml:space="preserve">Consola: línea Construcción (serie mensual).</t>
  </si>
  <si>
    <t xml:space="preserve">Series de la SBS</t>
  </si>
  <si>
    <t xml:space="preserve">3 bancos. Refinanciados, Morosidad y Provisiones desde 2001; ROEA y ROAA desde 2005. Todas llegan a 2026-04.</t>
  </si>
  <si>
    <t xml:space="preserve">Consola: rango impreso de cada indicador.</t>
  </si>
  <si>
    <t xml:space="preserve">7 indicadores. ICEN arranca en 1950; los demás empiezan entre 1979 y 2010. Todos llegan a 2026.</t>
  </si>
  <si>
    <t xml:space="preserve">10. Puntos abiertos que conviene resolver</t>
  </si>
  <si>
    <t xml:space="preserve">Están ordenados por prioridad. Los tres primeros cambian números hoy.</t>
  </si>
  <si>
    <t xml:space="preserve">Tema</t>
  </si>
  <si>
    <t xml:space="preserve">Qué encontramos</t>
  </si>
  <si>
    <t xml:space="preserve">Cómo afecta los números</t>
  </si>
  <si>
    <t xml:space="preserve">Qué conviene hacer</t>
  </si>
  <si>
    <t xml:space="preserve">Prioridad</t>
  </si>
  <si>
    <t xml:space="preserve">Unidades mezcladas en el gráfico de minería</t>
  </si>
  <si>
    <t xml:space="preserve">BD Prod no trae columna de unidad de medida (la columna F es la unidad minera). El gráfico suma todos los minerales tal cual vienen. En Buenaventura, noviembre de 2025, el oro marca 237,107, la plata 33,983 y el zinc 3,658. Por la magnitud, el oro parece venir en gramos finos y la plata en kilos finos, y el resto en TMF.</t>
  </si>
  <si>
    <t xml:space="preserve">La serie de cada minera queda dominada por el oro y no representa toneladas. No afecta el mapa, el pivote ni las pestañas Resumen, Renta Variable y Renta Fija.</t>
  </si>
  <si>
    <t xml:space="preserve">Confirmar con quien mantiene BD Prod la unidad de cada mineral y convertir a TMF antes de sumar, con los factores de la sección 7. Mientras tanto, no usar el gráfico de minería para comparar empresas.</t>
  </si>
  <si>
    <t xml:space="preserve">Alta</t>
  </si>
  <si>
    <t xml:space="preserve">Ventana de tiempo del peso minero</t>
  </si>
  <si>
    <t xml:space="preserve">El peso de minería se lee del archivo anual por nombre de mes (ENERO a DICIEMBRE), sin mirar el año. Entre enero y junio de 2026 la ventana es julio a diciembre de 2025 y está bien. Desde julio la ventana pasa a enero a junio de 2026 y, con el archivo de 2025, el script sumaría enero a junio de 2025 sin avisar. Al 29/10/2026 ya estamos en ese caso. Utilities y Construcción sí leen fechas reales y avisan los meses que faltan.</t>
  </si>
  <si>
    <t xml:space="preserve">Los pesos mineros quedarían con datos del año anterior.</t>
  </si>
  <si>
    <t xml:space="preserve">Cargar el archivo anual 2026 cuando exista, o fijar SEMESTRE_REF en 2026-06-14 para reproducir el cierre de junio. Lo ideal es que el script valide el año del archivo.</t>
  </si>
  <si>
    <t xml:space="preserve">Filas que no se ubican en el mapa</t>
  </si>
  <si>
    <t xml:space="preserve">Con el GeoJSON que descarga el script, 7 de las 602 ubicaciones quedan sin UBIGEO. Nasca (Aenza, Casa Andina y dos de Primax): el GeoJSON escribe NAZCA. Megantoni (tres de las cinco ubicaciones de Hunt Oil): ese distrito no está en el GeoJSON.</t>
  </si>
  <si>
    <t xml:space="preserve">Su peso se reparte entre los distritos que sí se ubicaron. En Hunt Oil es el 60% del peso, así que casi todo su monto (S/ 87.9 millones) queda en solo dos distritos. En las otras tres empresas el efecto es de alrededor de 2% del peso o menos.</t>
  </si>
  <si>
    <t xml:space="preserve">Nasca: agregar el alias NASCA a NAZCA en ALIAS_DISTRITO, o una corrección en OVERRIDE_UBIGEO hacia el UBIGEO 110301. Megantoni: agregarlo al complemento de distritos del GeoJSON o asignarlo a mano con su UBIGEO oficial del INEI, que hay que confirmar.</t>
  </si>
  <si>
    <t xml:space="preserve">Etapas en el archivo anual de minería</t>
  </si>
  <si>
    <t xml:space="preserve">El gráfico filtra Etapa igual a CONCENTRACIÓN, pero el peso del mapa suma todas las etapas del archivo anual. En el universo hay 5 filas que no son concentración: Nexa, cadmio y zinc de la refinería de Cajamarquilla (Lurigancho); Minsur, estaño de Funsur (Paracas) y oro y plata de Pucamarca (Palca). Todas son refinación.</t>
  </si>
  <si>
    <t xml:space="preserve">Lurigancho, Paracas y Palca reciben peso extra de procesos de refinación.</t>
  </si>
  <si>
    <t xml:space="preserve">Decidir un criterio único. Si se quiere solo concentración, agregar el filtro en load_produccion.</t>
  </si>
  <si>
    <t xml:space="preserve">Media</t>
  </si>
  <si>
    <t xml:space="preserve">Auna: dos columnas de peso</t>
  </si>
  <si>
    <t xml:space="preserve">La hoja trae Peso Servicios y Peso Oncosalud. Se usa la primera y su suma es 25, no 1.</t>
  </si>
  <si>
    <t xml:space="preserve">El reparto se normaliza igual, pero si el peso correcto combina ambas líneas, el reparto cambia.</t>
  </si>
  <si>
    <t xml:space="preserve">Confirmar qué representa cada columna y si deben combinarse.</t>
  </si>
  <si>
    <t xml:space="preserve">Aenza: dos bloques distintos</t>
  </si>
  <si>
    <t xml:space="preserve">El primer bloque (columna %) hace que cada línea de negocio pese igual (suma 10). El segundo bloque trae un peso por ventas (% Porcentaje, suma 1), pero sus columnas Departamento, Provincia y Distrito no calzan con su Ubigeo en las filas revisadas (por ejemplo Cusco, Anta, Anta junto al ubigeo 150142 de Villa El Salvador).</t>
  </si>
  <si>
    <t xml:space="preserve">Si el criterio correcto es por ventas, el reparto de Aenza cambia.</t>
  </si>
  <si>
    <t xml:space="preserve">Confirmar con quien armó la hoja cuál es el peso correcto y corregir el segundo bloque si corresponde.</t>
  </si>
  <si>
    <t xml:space="preserve">Pluz Energía dentro de Utilities</t>
  </si>
  <si>
    <t xml:space="preserve">Está en Utilities con peso en porcentaje, mientras Orygen, Engie y Orazen usan MW. En el Excel su peso se rotula Distribución (%).</t>
  </si>
  <si>
    <t xml:space="preserve">Los metadatos del sector Utilities hablan de MW. Falta revisar cómo se ve Pluz en el tooltip del mapa.</t>
  </si>
  <si>
    <t xml:space="preserve">Abrir el HTML, filtrar Utilities y revisar el tooltip de Pluz. Si confunde, moverla a otro sector, por ejemplo Energía.</t>
  </si>
  <si>
    <t xml:space="preserve">Umbrales de El Niño y La Niña</t>
  </si>
  <si>
    <t xml:space="preserve">Los umbrales de ICEN (0.4, 1.0 y 1.4 para El Niño; -1.0, -1.2 y -1.4 para La Niña) no tienen fuente citada en el código.</t>
  </si>
  <si>
    <t xml:space="preserve">Cambian dónde se dibujan las líneas de categoría, no los datos.</t>
  </si>
  <si>
    <t xml:space="preserve">Contrastarlos con la tabla oficial del ENFEN antes de mostrar el gráfico en comité.</t>
  </si>
  <si>
    <t xml:space="preserve">Fechas de los eventos extraordinarios</t>
  </si>
  <si>
    <t xml:space="preserve">El Niño 1997 a 1998 (marzo de 1997 a junio de 1998) y El Niño Costero 2017 (enero a mayo de 2017) citan al ENFEN en el código, pero no se contrastaron contra el comunicado oficial.</t>
  </si>
  <si>
    <t xml:space="preserve">Cambia el ancho de los rectángulos rojos.</t>
  </si>
  <si>
    <t xml:space="preserve">Verificar contra los comunicados oficiales y dejar la referencia exacta en el comentario del código.</t>
  </si>
  <si>
    <t xml:space="preserve">Sectores asignados por defecto</t>
  </si>
  <si>
    <t xml:space="preserve">De las 18 empresas, solo cuatro tienen sector definido por el analista (Alicorp, Auna, Ferreycorp y Pluz). Las otras 14 se asignaron con criterio razonable.</t>
  </si>
  <si>
    <t xml:space="preserve">El sector define el filtro del dashboard y las etiquetas.</t>
  </si>
  <si>
    <t xml:space="preserve">Revisar la lista y editar EMPRESAS_HOJA si algún sector no cuadra.</t>
  </si>
  <si>
    <t xml:space="preserve">Baja</t>
  </si>
  <si>
    <t xml:space="preserve">Bancos: nombres y un nombre sin mapear</t>
  </si>
  <si>
    <t xml:space="preserve">En el flujo principal el banco se llama BBVA y en el gráfico BBVA Perú. Además, en la corrida de validación el nombre Sura Credicorp Infraestructura del resumen B-2358 quedó sin mapear (55,948,809 según el log).</t>
  </si>
  <si>
    <t xml:space="preserve">Lo primero no cambia números porque son flujos separados. Lo segundo deja fuera ese monto de Credicorp si debía sumarse.</t>
  </si>
  <si>
    <t xml:space="preserve">Decidir si Sura Credicorp Infraestructura se suma a Credicorp y, si es así, agregarlo a EQUIV_EMPRESAS_FINANCIERO.</t>
  </si>
  <si>
    <t xml:space="preserve">BD Consumo.xlsm sin conectar</t>
  </si>
  <si>
    <t xml:space="preserve">No se usa porque nunca se revisó su estructura. Consumo se alimenta solo de las hojas de empresa.</t>
  </si>
  <si>
    <t xml:space="preserve">Consumo no tiene series mensuales en el gráfico.</t>
  </si>
  <si>
    <t xml:space="preserve">Conectarla cuando se tenga el archivo a mano y se revise su estructura.</t>
  </si>
  <si>
    <t xml:space="preserve">Hudbay en el gráfico de minería</t>
  </si>
  <si>
    <t xml:space="preserve">Hudbay no está en la lista de equivalencias de BD Prod, por eso no aparece en el gráfico.</t>
  </si>
  <si>
    <t xml:space="preserve">Solo afecta el selector del gráfico.</t>
  </si>
  <si>
    <t xml:space="preserve">Agregar su TITULAR de BD Prod a EQUIV_MINERAS_MENSUAL si se quiere ver.</t>
  </si>
  <si>
    <t xml:space="preserve">Hojas de apoyo del Excel de salida</t>
  </si>
  <si>
    <t xml:space="preserve">La hoja Equivalencias del Excel de salida solo lista minería, y la hoja No mapeados rotula la columna de peso como TMF aunque el sector use otra unidad.</t>
  </si>
  <si>
    <t xml:space="preserve">Solo presentación.</t>
  </si>
  <si>
    <t xml:space="preserve">Usar esta guía para las equivalencias de los demás sectores, o ampliar la hoja Equivalencias en el script.</t>
  </si>
  <si>
    <t xml:space="preserve">11. Lista de comprobación para la auditoría</t>
  </si>
  <si>
    <t xml:space="preserve">Las dos últimas columnas están vacías para que quien audite anote lo que encontró.</t>
  </si>
  <si>
    <t xml:space="preserve">Qué revisar</t>
  </si>
  <si>
    <t xml:space="preserve">Dónde se mira</t>
  </si>
  <si>
    <t xml:space="preserve">Resultado esperado</t>
  </si>
  <si>
    <t xml:space="preserve">Observaciones de quien audita</t>
  </si>
  <si>
    <t xml:space="preserve">¿Hecho?</t>
  </si>
  <si>
    <t xml:space="preserve">Fecha y ventana de tiempo</t>
  </si>
  <si>
    <t xml:space="preserve">Consola: línea peso = suma del semestre anterior y avisos de meses faltantes.</t>
  </si>
  <si>
    <t xml:space="preserve">La ventana corresponde al cierre que se quiere reproducir (punto abierto 2).</t>
  </si>
  <si>
    <t xml:space="preserve">Exposición por emisor</t>
  </si>
  <si>
    <t xml:space="preserve">Valorización de Instrumentos (filtro por nombre en H, suma de M) frente a la hoja Resumen del Excel.</t>
  </si>
  <si>
    <t xml:space="preserve">Coinciden para cada emisor.</t>
  </si>
  <si>
    <t xml:space="preserve">Nombres sin equivalencia</t>
  </si>
  <si>
    <t xml:space="preserve">Consola: auditoría de nombres de la columna H.</t>
  </si>
  <si>
    <t xml:space="preserve">Ningún emisor del portafolio sin mapear. Los homónimos excluidos a propósito (BBVA Bancomer y BCI de Chile) siguen fuera.</t>
  </si>
  <si>
    <t xml:space="preserve">Filas sin ubicar</t>
  </si>
  <si>
    <t xml:space="preserve">Consola, líneas NO geocodificadas, y hoja No mapeados.</t>
  </si>
  <si>
    <t xml:space="preserve">Lista corta y explicada. Con el GeoJSON actual son 7 (punto abierto 3).</t>
  </si>
  <si>
    <t xml:space="preserve">Pesos de las 18 hojas</t>
  </si>
  <si>
    <t xml:space="preserve">Consola: una línea por empresa con ubicaciones, columna de peso y suma.</t>
  </si>
  <si>
    <t xml:space="preserve">Columna de peso correcta en cada hoja. Suma 1 salvo Aenza (10) y Auna (25).</t>
  </si>
  <si>
    <t xml:space="preserve">Reparto de un emisor</t>
  </si>
  <si>
    <t xml:space="preserve">Sección 5 de esta hoja y hoja del emisor en el Excel.</t>
  </si>
  <si>
    <t xml:space="preserve">La suma de la exposición por distrito iguala el monto del emisor.</t>
  </si>
  <si>
    <t xml:space="preserve">Nivel CENEPRED</t>
  </si>
  <si>
    <t xml:space="preserve">Hoja Cenepred, para tres distritos al azar.</t>
  </si>
  <si>
    <t xml:space="preserve">El nivel que muestra el dashboard es el mayor de los tres puntajes.</t>
  </si>
  <si>
    <t xml:space="preserve">Cuadre entre Resumen y distritos</t>
  </si>
  <si>
    <t xml:space="preserve">Total de Exposición cartera (hoja Resumen) frente a la suma de Exposición (S/) en la hoja Exposición y Riesgo.</t>
  </si>
  <si>
    <t xml:space="preserve">Coinciden. Si hay diferencia, algún emisor no tiene filas ubicadas.</t>
  </si>
  <si>
    <t xml:space="preserve">AUM Total y AUM por Emisor</t>
  </si>
  <si>
    <t xml:space="preserve">Pestañas Resumen, Renta Variable y Renta Fija.</t>
  </si>
  <si>
    <t xml:space="preserve">Se reproducen con las fórmulas de la sección 5 para dos o tres filas.</t>
  </si>
  <si>
    <t xml:space="preserve">Gráfico: rango de las series</t>
  </si>
  <si>
    <t xml:space="preserve">Consola: rango de cada indicador SBS y de cada serie sectorial.</t>
  </si>
  <si>
    <t xml:space="preserve">Cada serie llega al mes más reciente de su fuente.</t>
  </si>
  <si>
    <t xml:space="preserve">Gráfico: unidades de minería</t>
  </si>
  <si>
    <t xml:space="preserve">BD Prod frente al archivo anual.</t>
  </si>
  <si>
    <t xml:space="preserve">Pendiente: ver punto abierto 1 antes de usar el gráfico de minería en comité.</t>
  </si>
  <si>
    <t xml:space="preserve">Excel de salida sin errores</t>
  </si>
  <si>
    <t xml:space="preserve">Abrir el Excel.</t>
  </si>
  <si>
    <t xml:space="preserve">Sin celdas con error de fórmula.</t>
  </si>
  <si>
    <t xml:space="preserve">Dashboard</t>
  </si>
  <si>
    <t xml:space="preserve">Abrir el HTML y probar las cuatro pestañas, el buscador, el orden por columna y el interruptor de montos.</t>
  </si>
  <si>
    <t xml:space="preserve">Todo responde sin recargar la página.</t>
  </si>
  <si>
    <t xml:space="preserve">Pie del dashboard</t>
  </si>
  <si>
    <t xml:space="preserve">Pie de página del HTML.</t>
  </si>
  <si>
    <t xml:space="preserve">Fuentes y fecha de actualización correctas.</t>
  </si>
</sst>
</file>

<file path=xl/styles.xml><?xml version="1.0" encoding="utf-8"?>
<styleSheet xmlns="http://schemas.openxmlformats.org/spreadsheetml/2006/main">
  <numFmts count="6">
    <numFmt numFmtId="164" formatCode="General"/>
    <numFmt numFmtId="165" formatCode="#,##0"/>
    <numFmt numFmtId="166" formatCode="0"/>
    <numFmt numFmtId="167" formatCode="#,##0.00"/>
    <numFmt numFmtId="168" formatCode="0.0%"/>
    <numFmt numFmtId="169"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E2E6E"/>
      <name val="Calibri"/>
      <family val="0"/>
      <charset val="1"/>
    </font>
    <font>
      <i val="true"/>
      <sz val="9"/>
      <color rgb="FF7E8083"/>
      <name val="Calibri"/>
      <family val="0"/>
      <charset val="1"/>
    </font>
    <font>
      <b val="true"/>
      <sz val="13"/>
      <color rgb="FF1E2E6E"/>
      <name val="Calibri"/>
      <family val="0"/>
      <charset val="1"/>
    </font>
    <font>
      <b val="true"/>
      <sz val="10"/>
      <name val="Calibri"/>
      <family val="0"/>
      <charset val="1"/>
    </font>
    <font>
      <sz val="10"/>
      <name val="Calibri"/>
      <family val="0"/>
      <charset val="1"/>
    </font>
    <font>
      <b val="true"/>
      <sz val="10"/>
      <color rgb="FFFFFFFF"/>
      <name val="Calibri"/>
      <family val="0"/>
      <charset val="1"/>
    </font>
    <font>
      <sz val="10"/>
      <color rgb="FF0000FF"/>
      <name val="Calibri"/>
      <family val="0"/>
      <charset val="1"/>
    </font>
    <font>
      <b val="true"/>
      <sz val="10"/>
      <color rgb="FF1E2E6E"/>
      <name val="Calibri"/>
      <family val="0"/>
      <charset val="1"/>
    </font>
  </fonts>
  <fills count="5">
    <fill>
      <patternFill patternType="none"/>
    </fill>
    <fill>
      <patternFill patternType="gray125"/>
    </fill>
    <fill>
      <patternFill patternType="solid">
        <fgColor rgb="FF1E2E6E"/>
        <bgColor rgb="FF333399"/>
      </patternFill>
    </fill>
    <fill>
      <patternFill patternType="solid">
        <fgColor rgb="FFE3E829"/>
        <bgColor rgb="FFFFFF00"/>
      </patternFill>
    </fill>
    <fill>
      <patternFill patternType="solid">
        <fgColor rgb="FFDCDDDE"/>
        <bgColor rgb="FFD9D9D9"/>
      </patternFill>
    </fill>
  </fills>
  <borders count="3">
    <border diagonalUp="false" diagonalDown="false">
      <left/>
      <right/>
      <top/>
      <bottom/>
      <diagonal/>
    </border>
    <border diagonalUp="false" diagonalDown="false">
      <left/>
      <right/>
      <top/>
      <bottom style="medium">
        <color rgb="FF00AECB"/>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9" fillId="2" borderId="2" xfId="0" applyFont="true" applyBorder="true" applyAlignment="true" applyProtection="false">
      <alignment horizontal="left" vertical="center" textRotation="0" wrapText="true" indent="0" shrinkToFit="false"/>
      <protection locked="true" hidden="false"/>
    </xf>
    <xf numFmtId="165" fontId="10" fillId="0" borderId="2" xfId="0" applyFont="true" applyBorder="true" applyAlignment="true" applyProtection="false">
      <alignment horizontal="left" vertical="top" textRotation="0" wrapText="false" indent="0" shrinkToFit="false"/>
      <protection locked="true" hidden="false"/>
    </xf>
    <xf numFmtId="166" fontId="10" fillId="0" borderId="2" xfId="0" applyFont="true" applyBorder="true" applyAlignment="true" applyProtection="false">
      <alignment horizontal="left" vertical="top" textRotation="0" wrapText="false" indent="0" shrinkToFit="false"/>
      <protection locked="true" hidden="false"/>
    </xf>
    <xf numFmtId="167" fontId="8" fillId="0" borderId="2" xfId="0" applyFont="true" applyBorder="true" applyAlignment="true" applyProtection="false">
      <alignment horizontal="left" vertical="top" textRotation="0" wrapText="false" indent="0" shrinkToFit="false"/>
      <protection locked="true" hidden="false"/>
    </xf>
    <xf numFmtId="165" fontId="8" fillId="0" borderId="2" xfId="0" applyFont="true" applyBorder="true" applyAlignment="true" applyProtection="false">
      <alignment horizontal="left"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7" fillId="0" borderId="2" xfId="0" applyFont="true" applyBorder="true" applyAlignment="true" applyProtection="false">
      <alignment horizontal="left" vertical="top" textRotation="0" wrapText="false" indent="0" shrinkToFit="false"/>
      <protection locked="true" hidden="false"/>
    </xf>
    <xf numFmtId="168" fontId="8" fillId="0" borderId="2" xfId="0" applyFont="true" applyBorder="true" applyAlignment="true" applyProtection="false">
      <alignment horizontal="left" vertical="top" textRotation="0" wrapText="fals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5" fontId="7" fillId="0" borderId="2" xfId="0" applyFont="true" applyBorder="true" applyAlignment="true" applyProtection="false">
      <alignment horizontal="left" vertical="top" textRotation="0" wrapText="false" indent="0" shrinkToFit="false"/>
      <protection locked="true" hidden="false"/>
    </xf>
    <xf numFmtId="169" fontId="8" fillId="0" borderId="2" xfId="0" applyFont="true" applyBorder="true" applyAlignment="true" applyProtection="false">
      <alignment horizontal="left" vertical="top" textRotation="0" wrapText="false" indent="0" shrinkToFit="false"/>
      <protection locked="true" hidden="false"/>
    </xf>
    <xf numFmtId="164" fontId="7" fillId="3" borderId="2"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E3E829"/>
      <rgbColor rgb="FFFF00FF"/>
      <rgbColor rgb="FF00FFFF"/>
      <rgbColor rgb="FF800000"/>
      <rgbColor rgb="FF008000"/>
      <rgbColor rgb="FF000080"/>
      <rgbColor rgb="FF808000"/>
      <rgbColor rgb="FF800080"/>
      <rgbColor rgb="FF008080"/>
      <rgbColor rgb="FFC0C0C0"/>
      <rgbColor rgb="FF7E8083"/>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AECB"/>
      <rgbColor rgb="FFCCFFFF"/>
      <rgbColor rgb="FFDCDDD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E2E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2E6E"/>
    <pageSetUpPr fitToPage="true"/>
  </sheetPr>
  <dimension ref="A1:F20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48"/>
    <col collapsed="false" customWidth="true" hidden="false" outlineLevel="0" max="4" min="4" style="0" width="42"/>
    <col collapsed="false" customWidth="true" hidden="false" outlineLevel="0" max="5" min="5" style="0" width="44"/>
    <col collapsed="false" customWidth="true" hidden="false" outlineLevel="0" max="6" min="6" style="0" width="40"/>
  </cols>
  <sheetData>
    <row r="1" customFormat="false" ht="27.75" hidden="false" customHeight="true" outlineLevel="0" collapsed="false">
      <c r="A1" s="1" t="s">
        <v>0</v>
      </c>
      <c r="B1" s="1"/>
      <c r="C1" s="1"/>
      <c r="D1" s="1"/>
      <c r="E1" s="1"/>
      <c r="F1" s="1"/>
    </row>
    <row r="2" customFormat="false" ht="28.5" hidden="false" customHeight="true" outlineLevel="0" collapsed="false">
      <c r="A2" s="2" t="s">
        <v>1</v>
      </c>
      <c r="B2" s="2"/>
      <c r="C2" s="2"/>
      <c r="D2" s="2"/>
      <c r="E2" s="2"/>
      <c r="F2" s="2"/>
    </row>
    <row r="3" customFormat="false" ht="9.75" hidden="false" customHeight="true" outlineLevel="0" collapsed="false"/>
    <row r="4" customFormat="false" ht="24" hidden="false" customHeight="true" outlineLevel="0" collapsed="false">
      <c r="A4" s="3" t="s">
        <v>2</v>
      </c>
      <c r="B4" s="3"/>
      <c r="C4" s="3"/>
      <c r="D4" s="3"/>
      <c r="E4" s="3"/>
      <c r="F4" s="3"/>
    </row>
    <row r="5" customFormat="false" ht="30.75" hidden="false" customHeight="true" outlineLevel="0" collapsed="false">
      <c r="A5" s="4"/>
      <c r="B5" s="5" t="s">
        <v>3</v>
      </c>
      <c r="C5" s="6" t="s">
        <v>4</v>
      </c>
      <c r="D5" s="6"/>
      <c r="E5" s="6"/>
      <c r="F5" s="6"/>
    </row>
    <row r="6" customFormat="false" ht="43.5" hidden="false" customHeight="true" outlineLevel="0" collapsed="false">
      <c r="A6" s="4"/>
      <c r="B6" s="5" t="s">
        <v>5</v>
      </c>
      <c r="C6" s="6" t="s">
        <v>6</v>
      </c>
      <c r="D6" s="6"/>
      <c r="E6" s="6"/>
      <c r="F6" s="6"/>
    </row>
    <row r="7" customFormat="false" ht="30.75" hidden="false" customHeight="true" outlineLevel="0" collapsed="false">
      <c r="A7" s="4"/>
      <c r="B7" s="5" t="s">
        <v>7</v>
      </c>
      <c r="C7" s="6" t="s">
        <v>8</v>
      </c>
      <c r="D7" s="6"/>
      <c r="E7" s="6"/>
      <c r="F7" s="6"/>
    </row>
    <row r="8" customFormat="false" ht="30.75" hidden="false" customHeight="true" outlineLevel="0" collapsed="false">
      <c r="A8" s="4"/>
      <c r="B8" s="5" t="s">
        <v>9</v>
      </c>
      <c r="C8" s="6" t="s">
        <v>10</v>
      </c>
      <c r="D8" s="6"/>
      <c r="E8" s="6"/>
      <c r="F8" s="6"/>
    </row>
    <row r="9" customFormat="false" ht="43.5" hidden="false" customHeight="true" outlineLevel="0" collapsed="false">
      <c r="A9" s="4"/>
      <c r="B9" s="5" t="s">
        <v>11</v>
      </c>
      <c r="C9" s="6" t="s">
        <v>12</v>
      </c>
      <c r="D9" s="6"/>
      <c r="E9" s="6"/>
      <c r="F9" s="6"/>
    </row>
    <row r="10" customFormat="false" ht="13.5" hidden="false" customHeight="true" outlineLevel="0" collapsed="false"/>
    <row r="11" customFormat="false" ht="24" hidden="false" customHeight="true" outlineLevel="0" collapsed="false">
      <c r="A11" s="3" t="s">
        <v>13</v>
      </c>
      <c r="B11" s="3"/>
      <c r="C11" s="3"/>
      <c r="D11" s="3"/>
      <c r="E11" s="3"/>
      <c r="F11" s="3"/>
    </row>
    <row r="12" customFormat="false" ht="18" hidden="false" customHeight="true" outlineLevel="0" collapsed="false">
      <c r="A12" s="7" t="s">
        <v>14</v>
      </c>
      <c r="B12" s="7" t="s">
        <v>15</v>
      </c>
      <c r="C12" s="7" t="s">
        <v>16</v>
      </c>
      <c r="D12" s="7" t="s">
        <v>17</v>
      </c>
      <c r="E12" s="7" t="s">
        <v>18</v>
      </c>
      <c r="F12" s="7" t="s">
        <v>19</v>
      </c>
    </row>
    <row r="13" customFormat="false" ht="43.5" hidden="false" customHeight="true" outlineLevel="0" collapsed="false">
      <c r="A13" s="6" t="n">
        <v>1</v>
      </c>
      <c r="B13" s="5" t="s">
        <v>20</v>
      </c>
      <c r="C13" s="6" t="s">
        <v>21</v>
      </c>
      <c r="D13" s="6" t="s">
        <v>22</v>
      </c>
      <c r="E13" s="6" t="s">
        <v>23</v>
      </c>
      <c r="F13" s="6" t="s">
        <v>24</v>
      </c>
    </row>
    <row r="14" customFormat="false" ht="57" hidden="false" customHeight="true" outlineLevel="0" collapsed="false">
      <c r="A14" s="6" t="n">
        <v>2</v>
      </c>
      <c r="B14" s="5" t="s">
        <v>25</v>
      </c>
      <c r="C14" s="6" t="s">
        <v>26</v>
      </c>
      <c r="D14" s="6" t="s">
        <v>27</v>
      </c>
      <c r="E14" s="6" t="s">
        <v>28</v>
      </c>
      <c r="F14" s="6" t="s">
        <v>29</v>
      </c>
    </row>
    <row r="15" customFormat="false" ht="30.75" hidden="false" customHeight="true" outlineLevel="0" collapsed="false">
      <c r="A15" s="6" t="n">
        <v>3</v>
      </c>
      <c r="B15" s="5" t="s">
        <v>30</v>
      </c>
      <c r="C15" s="6" t="s">
        <v>31</v>
      </c>
      <c r="D15" s="6" t="s">
        <v>32</v>
      </c>
      <c r="E15" s="6" t="s">
        <v>33</v>
      </c>
      <c r="F15" s="6" t="s">
        <v>34</v>
      </c>
    </row>
    <row r="16" customFormat="false" ht="30.75" hidden="false" customHeight="true" outlineLevel="0" collapsed="false">
      <c r="A16" s="6" t="n">
        <v>4</v>
      </c>
      <c r="B16" s="5" t="s">
        <v>35</v>
      </c>
      <c r="C16" s="6" t="s">
        <v>36</v>
      </c>
      <c r="D16" s="6" t="s">
        <v>37</v>
      </c>
      <c r="E16" s="6" t="s">
        <v>38</v>
      </c>
      <c r="F16" s="6" t="s">
        <v>39</v>
      </c>
    </row>
    <row r="17" customFormat="false" ht="30.75" hidden="false" customHeight="true" outlineLevel="0" collapsed="false">
      <c r="A17" s="6" t="n">
        <v>5</v>
      </c>
      <c r="B17" s="5" t="s">
        <v>40</v>
      </c>
      <c r="C17" s="6" t="s">
        <v>41</v>
      </c>
      <c r="D17" s="6" t="s">
        <v>42</v>
      </c>
      <c r="E17" s="6" t="s">
        <v>43</v>
      </c>
      <c r="F17" s="6" t="s">
        <v>39</v>
      </c>
    </row>
    <row r="18" customFormat="false" ht="43.5" hidden="false" customHeight="true" outlineLevel="0" collapsed="false">
      <c r="A18" s="6" t="n">
        <v>6</v>
      </c>
      <c r="B18" s="5" t="s">
        <v>44</v>
      </c>
      <c r="C18" s="6" t="s">
        <v>45</v>
      </c>
      <c r="D18" s="6" t="s">
        <v>46</v>
      </c>
      <c r="E18" s="6" t="s">
        <v>47</v>
      </c>
      <c r="F18" s="6" t="s">
        <v>39</v>
      </c>
    </row>
    <row r="19" customFormat="false" ht="43.5" hidden="false" customHeight="true" outlineLevel="0" collapsed="false">
      <c r="A19" s="6" t="n">
        <v>7</v>
      </c>
      <c r="B19" s="5" t="s">
        <v>48</v>
      </c>
      <c r="C19" s="6" t="s">
        <v>49</v>
      </c>
      <c r="D19" s="6" t="s">
        <v>50</v>
      </c>
      <c r="E19" s="6" t="s">
        <v>51</v>
      </c>
      <c r="F19" s="6" t="s">
        <v>52</v>
      </c>
    </row>
    <row r="20" customFormat="false" ht="30.75" hidden="false" customHeight="true" outlineLevel="0" collapsed="false">
      <c r="A20" s="6" t="n">
        <v>8</v>
      </c>
      <c r="B20" s="5" t="s">
        <v>53</v>
      </c>
      <c r="C20" s="6" t="s">
        <v>54</v>
      </c>
      <c r="D20" s="6" t="s">
        <v>55</v>
      </c>
      <c r="E20" s="6" t="s">
        <v>56</v>
      </c>
      <c r="F20" s="6"/>
    </row>
    <row r="21" customFormat="false" ht="43.5" hidden="false" customHeight="true" outlineLevel="0" collapsed="false">
      <c r="A21" s="6" t="n">
        <v>9</v>
      </c>
      <c r="B21" s="5" t="s">
        <v>57</v>
      </c>
      <c r="C21" s="6" t="s">
        <v>58</v>
      </c>
      <c r="D21" s="6" t="s">
        <v>59</v>
      </c>
      <c r="E21" s="6" t="s">
        <v>60</v>
      </c>
      <c r="F21" s="6"/>
    </row>
    <row r="22" customFormat="false" ht="43.5" hidden="false" customHeight="true" outlineLevel="0" collapsed="false">
      <c r="A22" s="6" t="n">
        <v>10</v>
      </c>
      <c r="B22" s="5" t="s">
        <v>61</v>
      </c>
      <c r="C22" s="6" t="s">
        <v>62</v>
      </c>
      <c r="D22" s="6" t="s">
        <v>63</v>
      </c>
      <c r="E22" s="6" t="s">
        <v>64</v>
      </c>
      <c r="F22" s="6" t="s">
        <v>65</v>
      </c>
    </row>
    <row r="23" customFormat="false" ht="30.75" hidden="false" customHeight="true" outlineLevel="0" collapsed="false">
      <c r="A23" s="6" t="n">
        <v>11</v>
      </c>
      <c r="B23" s="5" t="s">
        <v>66</v>
      </c>
      <c r="C23" s="6" t="s">
        <v>67</v>
      </c>
      <c r="D23" s="6"/>
      <c r="E23" s="6" t="s">
        <v>68</v>
      </c>
      <c r="F23" s="6" t="s">
        <v>69</v>
      </c>
    </row>
    <row r="24" customFormat="false" ht="30.75" hidden="false" customHeight="true" outlineLevel="0" collapsed="false">
      <c r="A24" s="6" t="n">
        <v>12</v>
      </c>
      <c r="B24" s="5" t="s">
        <v>70</v>
      </c>
      <c r="C24" s="6" t="s">
        <v>71</v>
      </c>
      <c r="D24" s="6" t="s">
        <v>72</v>
      </c>
      <c r="E24" s="6" t="s">
        <v>73</v>
      </c>
      <c r="F24" s="6"/>
    </row>
    <row r="25" customFormat="false" ht="13.5" hidden="false" customHeight="true" outlineLevel="0" collapsed="false"/>
    <row r="26" customFormat="false" ht="24" hidden="false" customHeight="true" outlineLevel="0" collapsed="false">
      <c r="A26" s="3" t="s">
        <v>74</v>
      </c>
      <c r="B26" s="3"/>
      <c r="C26" s="3"/>
      <c r="D26" s="3"/>
      <c r="E26" s="3"/>
      <c r="F26" s="3"/>
    </row>
    <row r="27" customFormat="false" ht="18" hidden="false" customHeight="true" outlineLevel="0" collapsed="false">
      <c r="A27" s="7" t="s">
        <v>14</v>
      </c>
      <c r="B27" s="7" t="s">
        <v>75</v>
      </c>
      <c r="C27" s="7" t="s">
        <v>76</v>
      </c>
      <c r="D27" s="7" t="s">
        <v>77</v>
      </c>
      <c r="E27" s="7" t="s">
        <v>78</v>
      </c>
      <c r="F27" s="7" t="s">
        <v>79</v>
      </c>
    </row>
    <row r="28" customFormat="false" ht="57" hidden="false" customHeight="true" outlineLevel="0" collapsed="false">
      <c r="A28" s="6" t="n">
        <v>1</v>
      </c>
      <c r="B28" s="5" t="s">
        <v>80</v>
      </c>
      <c r="C28" s="6" t="s">
        <v>81</v>
      </c>
      <c r="D28" s="6" t="s">
        <v>82</v>
      </c>
      <c r="E28" s="6" t="s">
        <v>83</v>
      </c>
      <c r="F28" s="6" t="s">
        <v>84</v>
      </c>
    </row>
    <row r="29" customFormat="false" ht="43.5" hidden="false" customHeight="true" outlineLevel="0" collapsed="false">
      <c r="A29" s="6" t="n">
        <v>2</v>
      </c>
      <c r="B29" s="5" t="s">
        <v>85</v>
      </c>
      <c r="C29" s="6" t="s">
        <v>86</v>
      </c>
      <c r="D29" s="6" t="s">
        <v>87</v>
      </c>
      <c r="E29" s="6" t="s">
        <v>88</v>
      </c>
      <c r="F29" s="6" t="s">
        <v>89</v>
      </c>
    </row>
    <row r="30" customFormat="false" ht="96" hidden="false" customHeight="true" outlineLevel="0" collapsed="false">
      <c r="A30" s="6" t="n">
        <v>3</v>
      </c>
      <c r="B30" s="5" t="s">
        <v>90</v>
      </c>
      <c r="C30" s="6" t="s">
        <v>91</v>
      </c>
      <c r="D30" s="6" t="s">
        <v>92</v>
      </c>
      <c r="E30" s="6" t="s">
        <v>93</v>
      </c>
      <c r="F30" s="6" t="s">
        <v>94</v>
      </c>
    </row>
    <row r="31" customFormat="false" ht="135" hidden="false" customHeight="true" outlineLevel="0" collapsed="false">
      <c r="A31" s="6" t="n">
        <v>4</v>
      </c>
      <c r="B31" s="5" t="s">
        <v>95</v>
      </c>
      <c r="C31" s="6" t="s">
        <v>96</v>
      </c>
      <c r="D31" s="6" t="s">
        <v>97</v>
      </c>
      <c r="E31" s="6" t="s">
        <v>98</v>
      </c>
      <c r="F31" s="6" t="s">
        <v>99</v>
      </c>
    </row>
    <row r="32" customFormat="false" ht="69.75" hidden="false" customHeight="true" outlineLevel="0" collapsed="false">
      <c r="A32" s="6" t="n">
        <v>5</v>
      </c>
      <c r="B32" s="5" t="s">
        <v>100</v>
      </c>
      <c r="C32" s="6" t="s">
        <v>101</v>
      </c>
      <c r="D32" s="6" t="s">
        <v>102</v>
      </c>
      <c r="E32" s="6" t="s">
        <v>103</v>
      </c>
      <c r="F32" s="6" t="s">
        <v>104</v>
      </c>
    </row>
    <row r="33" customFormat="false" ht="57" hidden="false" customHeight="true" outlineLevel="0" collapsed="false">
      <c r="A33" s="6" t="n">
        <v>6</v>
      </c>
      <c r="B33" s="5" t="s">
        <v>105</v>
      </c>
      <c r="C33" s="6" t="s">
        <v>106</v>
      </c>
      <c r="D33" s="6" t="s">
        <v>107</v>
      </c>
      <c r="E33" s="6" t="s">
        <v>108</v>
      </c>
      <c r="F33" s="6" t="s">
        <v>109</v>
      </c>
    </row>
    <row r="34" customFormat="false" ht="57" hidden="false" customHeight="true" outlineLevel="0" collapsed="false">
      <c r="A34" s="6" t="n">
        <v>7</v>
      </c>
      <c r="B34" s="5" t="s">
        <v>110</v>
      </c>
      <c r="C34" s="6" t="s">
        <v>111</v>
      </c>
      <c r="D34" s="6" t="s">
        <v>112</v>
      </c>
      <c r="E34" s="6" t="s">
        <v>113</v>
      </c>
      <c r="F34" s="6" t="s">
        <v>114</v>
      </c>
    </row>
    <row r="35" customFormat="false" ht="57" hidden="false" customHeight="true" outlineLevel="0" collapsed="false">
      <c r="A35" s="6" t="n">
        <v>8</v>
      </c>
      <c r="B35" s="5" t="s">
        <v>115</v>
      </c>
      <c r="C35" s="6" t="s">
        <v>116</v>
      </c>
      <c r="D35" s="6" t="s">
        <v>117</v>
      </c>
      <c r="E35" s="6" t="s">
        <v>118</v>
      </c>
      <c r="F35" s="6" t="s">
        <v>119</v>
      </c>
    </row>
    <row r="36" customFormat="false" ht="69.75" hidden="false" customHeight="true" outlineLevel="0" collapsed="false">
      <c r="A36" s="6" t="n">
        <v>9</v>
      </c>
      <c r="B36" s="5" t="s">
        <v>120</v>
      </c>
      <c r="C36" s="6" t="s">
        <v>121</v>
      </c>
      <c r="D36" s="6" t="s">
        <v>122</v>
      </c>
      <c r="E36" s="6" t="s">
        <v>123</v>
      </c>
      <c r="F36" s="6" t="s">
        <v>124</v>
      </c>
    </row>
    <row r="37" customFormat="false" ht="43.5" hidden="false" customHeight="true" outlineLevel="0" collapsed="false">
      <c r="A37" s="6" t="n">
        <v>10</v>
      </c>
      <c r="B37" s="5" t="s">
        <v>125</v>
      </c>
      <c r="C37" s="6" t="s">
        <v>126</v>
      </c>
      <c r="D37" s="6" t="s">
        <v>127</v>
      </c>
      <c r="E37" s="6" t="s">
        <v>128</v>
      </c>
      <c r="F37" s="6" t="s">
        <v>129</v>
      </c>
    </row>
    <row r="38" customFormat="false" ht="13.5" hidden="false" customHeight="true" outlineLevel="0" collapsed="false"/>
    <row r="39" customFormat="false" ht="24" hidden="false" customHeight="true" outlineLevel="0" collapsed="false">
      <c r="A39" s="3" t="s">
        <v>130</v>
      </c>
      <c r="B39" s="3"/>
      <c r="C39" s="3"/>
      <c r="D39" s="3"/>
      <c r="E39" s="3"/>
      <c r="F39" s="3"/>
    </row>
    <row r="40" customFormat="false" ht="18" hidden="false" customHeight="true" outlineLevel="0" collapsed="false">
      <c r="A40" s="7" t="s">
        <v>14</v>
      </c>
      <c r="B40" s="7" t="s">
        <v>131</v>
      </c>
      <c r="C40" s="7" t="s">
        <v>132</v>
      </c>
      <c r="D40" s="7" t="s">
        <v>133</v>
      </c>
      <c r="E40" s="7" t="s">
        <v>134</v>
      </c>
      <c r="F40" s="7" t="s">
        <v>135</v>
      </c>
    </row>
    <row r="41" customFormat="false" ht="57" hidden="false" customHeight="true" outlineLevel="0" collapsed="false">
      <c r="A41" s="6" t="n">
        <v>1</v>
      </c>
      <c r="B41" s="5" t="s">
        <v>136</v>
      </c>
      <c r="C41" s="6" t="s">
        <v>137</v>
      </c>
      <c r="D41" s="6" t="s">
        <v>138</v>
      </c>
      <c r="E41" s="6" t="s">
        <v>139</v>
      </c>
      <c r="F41" s="6" t="s">
        <v>140</v>
      </c>
    </row>
    <row r="42" customFormat="false" ht="57" hidden="false" customHeight="true" outlineLevel="0" collapsed="false">
      <c r="A42" s="6" t="n">
        <v>2</v>
      </c>
      <c r="B42" s="5" t="s">
        <v>141</v>
      </c>
      <c r="C42" s="6" t="s">
        <v>142</v>
      </c>
      <c r="D42" s="6" t="s">
        <v>143</v>
      </c>
      <c r="E42" s="6" t="s">
        <v>144</v>
      </c>
      <c r="F42" s="6" t="s">
        <v>145</v>
      </c>
    </row>
    <row r="43" customFormat="false" ht="57" hidden="false" customHeight="true" outlineLevel="0" collapsed="false">
      <c r="A43" s="6" t="n">
        <v>3</v>
      </c>
      <c r="B43" s="5" t="s">
        <v>146</v>
      </c>
      <c r="C43" s="6" t="s">
        <v>147</v>
      </c>
      <c r="D43" s="6" t="s">
        <v>148</v>
      </c>
      <c r="E43" s="6" t="s">
        <v>149</v>
      </c>
      <c r="F43" s="6" t="s">
        <v>150</v>
      </c>
    </row>
    <row r="44" customFormat="false" ht="69.75" hidden="false" customHeight="true" outlineLevel="0" collapsed="false">
      <c r="A44" s="6" t="n">
        <v>4</v>
      </c>
      <c r="B44" s="5" t="s">
        <v>151</v>
      </c>
      <c r="C44" s="6" t="s">
        <v>152</v>
      </c>
      <c r="D44" s="6" t="s">
        <v>153</v>
      </c>
      <c r="E44" s="6" t="s">
        <v>154</v>
      </c>
      <c r="F44" s="6" t="s">
        <v>155</v>
      </c>
    </row>
    <row r="45" customFormat="false" ht="43.5" hidden="false" customHeight="true" outlineLevel="0" collapsed="false">
      <c r="A45" s="6" t="n">
        <v>5</v>
      </c>
      <c r="B45" s="5" t="s">
        <v>156</v>
      </c>
      <c r="C45" s="6" t="s">
        <v>157</v>
      </c>
      <c r="D45" s="6" t="s">
        <v>158</v>
      </c>
      <c r="E45" s="6" t="s">
        <v>159</v>
      </c>
      <c r="F45" s="6" t="s">
        <v>160</v>
      </c>
    </row>
    <row r="46" customFormat="false" ht="13.5" hidden="false" customHeight="true" outlineLevel="0" collapsed="false"/>
    <row r="47" customFormat="false" ht="24" hidden="false" customHeight="true" outlineLevel="0" collapsed="false">
      <c r="A47" s="3" t="s">
        <v>161</v>
      </c>
      <c r="B47" s="3"/>
      <c r="C47" s="3"/>
      <c r="D47" s="3"/>
      <c r="E47" s="3"/>
      <c r="F47" s="3"/>
    </row>
    <row r="48" customFormat="false" ht="16.5" hidden="false" customHeight="true" outlineLevel="0" collapsed="false">
      <c r="A48" s="2" t="s">
        <v>162</v>
      </c>
      <c r="B48" s="2"/>
      <c r="C48" s="2"/>
      <c r="D48" s="2"/>
      <c r="E48" s="2"/>
      <c r="F48" s="2"/>
    </row>
    <row r="49" customFormat="false" ht="30.75" hidden="false" customHeight="true" outlineLevel="0" collapsed="false">
      <c r="A49" s="4"/>
      <c r="B49" s="5" t="s">
        <v>163</v>
      </c>
      <c r="C49" s="8" t="n">
        <v>1000</v>
      </c>
      <c r="D49" s="8"/>
    </row>
    <row r="50" customFormat="false" ht="30.75" hidden="false" customHeight="true" outlineLevel="0" collapsed="false">
      <c r="A50" s="4"/>
      <c r="B50" s="5" t="s">
        <v>164</v>
      </c>
      <c r="C50" s="8" t="n">
        <v>10000</v>
      </c>
      <c r="D50" s="8"/>
    </row>
    <row r="51" customFormat="false" ht="30.75" hidden="false" customHeight="true" outlineLevel="0" collapsed="false">
      <c r="A51" s="4"/>
      <c r="B51" s="5" t="s">
        <v>165</v>
      </c>
      <c r="C51" s="8" t="n">
        <v>600</v>
      </c>
      <c r="D51" s="8"/>
    </row>
    <row r="52" customFormat="false" ht="30.75" hidden="false" customHeight="true" outlineLevel="0" collapsed="false">
      <c r="A52" s="4"/>
      <c r="B52" s="5" t="s">
        <v>166</v>
      </c>
      <c r="C52" s="8" t="n">
        <v>5000</v>
      </c>
      <c r="D52" s="8"/>
    </row>
    <row r="53" customFormat="false" ht="6" hidden="false" customHeight="true" outlineLevel="0" collapsed="false"/>
    <row r="54" customFormat="false" ht="30.75" hidden="false" customHeight="true" outlineLevel="0" collapsed="false">
      <c r="A54" s="7"/>
      <c r="B54" s="7" t="s">
        <v>167</v>
      </c>
      <c r="C54" s="7" t="s">
        <v>168</v>
      </c>
      <c r="D54" s="7" t="s">
        <v>169</v>
      </c>
      <c r="E54" s="7" t="s">
        <v>170</v>
      </c>
      <c r="F54" s="7" t="s">
        <v>171</v>
      </c>
    </row>
    <row r="55" customFormat="false" ht="18" hidden="false" customHeight="true" outlineLevel="0" collapsed="false">
      <c r="A55" s="6"/>
      <c r="B55" s="5" t="s">
        <v>172</v>
      </c>
      <c r="C55" s="8" t="n">
        <v>50</v>
      </c>
      <c r="D55" s="9" t="n">
        <v>5</v>
      </c>
      <c r="E55" s="10" t="n">
        <f aca="false">$C$49*C55/SUM($C$55:$C$57)</f>
        <v>500</v>
      </c>
      <c r="F55" s="6" t="str">
        <f aca="false">IF(D55&gt;=3,"Sí","No")</f>
        <v>Sí</v>
      </c>
    </row>
    <row r="56" customFormat="false" ht="18" hidden="false" customHeight="true" outlineLevel="0" collapsed="false">
      <c r="A56" s="6"/>
      <c r="B56" s="5" t="s">
        <v>173</v>
      </c>
      <c r="C56" s="8" t="n">
        <v>30</v>
      </c>
      <c r="D56" s="9" t="n">
        <v>3</v>
      </c>
      <c r="E56" s="10" t="n">
        <f aca="false">$C$49*C56/SUM($C$55:$C$57)</f>
        <v>300</v>
      </c>
      <c r="F56" s="6" t="str">
        <f aca="false">IF(D56&gt;=3,"Sí","No")</f>
        <v>Sí</v>
      </c>
    </row>
    <row r="57" customFormat="false" ht="18" hidden="false" customHeight="true" outlineLevel="0" collapsed="false">
      <c r="A57" s="6"/>
      <c r="B57" s="5" t="s">
        <v>174</v>
      </c>
      <c r="C57" s="8" t="n">
        <v>20</v>
      </c>
      <c r="D57" s="9" t="n">
        <v>2</v>
      </c>
      <c r="E57" s="10" t="n">
        <f aca="false">$C$49*C57/SUM($C$55:$C$57)</f>
        <v>200</v>
      </c>
      <c r="F57" s="6" t="str">
        <f aca="false">IF(D57&gt;=3,"Sí","No")</f>
        <v>No</v>
      </c>
    </row>
    <row r="58" customFormat="false" ht="18" hidden="false" customHeight="true" outlineLevel="0" collapsed="false">
      <c r="A58" s="6"/>
      <c r="B58" s="5" t="s">
        <v>175</v>
      </c>
      <c r="C58" s="11" t="n">
        <f aca="false">SUM(C55:C57)</f>
        <v>100</v>
      </c>
      <c r="D58" s="6"/>
      <c r="E58" s="10" t="n">
        <f aca="false">SUM(E55:E57)</f>
        <v>1000</v>
      </c>
      <c r="F58" s="6" t="str">
        <f aca="false">IF(ROUND(E58-$C$49,6)=0,"Cuadra con el monto del emisor","No cuadra")</f>
        <v>Cuadra con el monto del emisor</v>
      </c>
    </row>
    <row r="59" customFormat="false" ht="7.5" hidden="false" customHeight="true" outlineLevel="0" collapsed="false"/>
    <row r="60" customFormat="false" ht="15" hidden="false" customHeight="false" outlineLevel="0" collapsed="false">
      <c r="B60" s="12" t="s">
        <v>176</v>
      </c>
    </row>
    <row r="61" customFormat="false" ht="30.75" hidden="false" customHeight="true" outlineLevel="0" collapsed="false">
      <c r="A61" s="7"/>
      <c r="B61" s="7" t="s">
        <v>177</v>
      </c>
      <c r="C61" s="7" t="s">
        <v>178</v>
      </c>
      <c r="D61" s="7" t="s">
        <v>179</v>
      </c>
      <c r="E61" s="7" t="s">
        <v>180</v>
      </c>
      <c r="F61" s="7" t="s">
        <v>181</v>
      </c>
    </row>
    <row r="62" customFormat="false" ht="18" hidden="false" customHeight="true" outlineLevel="0" collapsed="false">
      <c r="A62" s="6"/>
      <c r="B62" s="13" t="n">
        <v>5</v>
      </c>
      <c r="C62" s="10" t="n">
        <f aca="false">SUMIF($D$55:$D$57,B62,$E$55:$E$57)</f>
        <v>500</v>
      </c>
      <c r="D62" s="14" t="n">
        <f aca="false">IF($C$49=0,0,C62/$C$49)</f>
        <v>0.5</v>
      </c>
      <c r="E62" s="14" t="n">
        <f aca="false">IF($C$50=0,0,C62/$C$50)</f>
        <v>0.05</v>
      </c>
      <c r="F62" s="6" t="str">
        <f aca="false">IF(C62&gt;0,"Aparece en la tabla","No aparece, no hay distritos en este nivel")</f>
        <v>Aparece en la tabla</v>
      </c>
    </row>
    <row r="63" customFormat="false" ht="18" hidden="false" customHeight="true" outlineLevel="0" collapsed="false">
      <c r="A63" s="6"/>
      <c r="B63" s="13" t="n">
        <v>4</v>
      </c>
      <c r="C63" s="10" t="n">
        <f aca="false">SUMIF($D$55:$D$57,B63,$E$55:$E$57)</f>
        <v>0</v>
      </c>
      <c r="D63" s="14" t="n">
        <f aca="false">IF($C$49=0,0,C63/$C$49)</f>
        <v>0</v>
      </c>
      <c r="E63" s="14" t="n">
        <f aca="false">IF($C$50=0,0,C63/$C$50)</f>
        <v>0</v>
      </c>
      <c r="F63" s="6" t="str">
        <f aca="false">IF(C63&gt;0,"Aparece en la tabla","No aparece, no hay distritos en este nivel")</f>
        <v>No aparece, no hay distritos en este nivel</v>
      </c>
    </row>
    <row r="64" customFormat="false" ht="18" hidden="false" customHeight="true" outlineLevel="0" collapsed="false">
      <c r="A64" s="6"/>
      <c r="B64" s="13" t="n">
        <v>3</v>
      </c>
      <c r="C64" s="10" t="n">
        <f aca="false">SUMIF($D$55:$D$57,B64,$E$55:$E$57)</f>
        <v>300</v>
      </c>
      <c r="D64" s="14" t="n">
        <f aca="false">IF($C$49=0,0,C64/$C$49)</f>
        <v>0.3</v>
      </c>
      <c r="E64" s="14" t="n">
        <f aca="false">IF($C$50=0,0,C64/$C$50)</f>
        <v>0.03</v>
      </c>
      <c r="F64" s="6" t="str">
        <f aca="false">IF(C64&gt;0,"Aparece en la tabla","No aparece, no hay distritos en este nivel")</f>
        <v>Aparece en la tabla</v>
      </c>
    </row>
    <row r="65" customFormat="false" ht="7.5" hidden="false" customHeight="true" outlineLevel="0" collapsed="false"/>
    <row r="66" customFormat="false" ht="15" hidden="false" customHeight="false" outlineLevel="0" collapsed="false">
      <c r="B66" s="12" t="s">
        <v>182</v>
      </c>
    </row>
    <row r="67" customFormat="false" ht="30.75" hidden="false" customHeight="true" outlineLevel="0" collapsed="false">
      <c r="A67" s="7"/>
      <c r="B67" s="7" t="s">
        <v>177</v>
      </c>
      <c r="C67" s="7" t="s">
        <v>183</v>
      </c>
      <c r="D67" s="7" t="s">
        <v>184</v>
      </c>
      <c r="E67" s="7" t="s">
        <v>185</v>
      </c>
      <c r="F67" s="7" t="s">
        <v>181</v>
      </c>
    </row>
    <row r="68" customFormat="false" ht="18" hidden="false" customHeight="true" outlineLevel="0" collapsed="false">
      <c r="A68" s="6"/>
      <c r="B68" s="13" t="n">
        <v>5</v>
      </c>
      <c r="C68" s="10" t="n">
        <f aca="false">IF($C$49=0,0,C62*$C$51/$C$49)</f>
        <v>300</v>
      </c>
      <c r="D68" s="14" t="n">
        <f aca="false">IF($C$49=0,0,C68/$C$49)</f>
        <v>0.3</v>
      </c>
      <c r="E68" s="14" t="n">
        <f aca="false">IF($C$52=0,0,C68/$C$52)</f>
        <v>0.06</v>
      </c>
      <c r="F68" s="6" t="str">
        <f aca="false">IF(C68&gt;0,"Aparece en la tabla","No aparece, no hay distritos en este nivel")</f>
        <v>Aparece en la tabla</v>
      </c>
    </row>
    <row r="69" customFormat="false" ht="18" hidden="false" customHeight="true" outlineLevel="0" collapsed="false">
      <c r="A69" s="6"/>
      <c r="B69" s="13" t="n">
        <v>4</v>
      </c>
      <c r="C69" s="10" t="n">
        <f aca="false">IF($C$49=0,0,C63*$C$51/$C$49)</f>
        <v>0</v>
      </c>
      <c r="D69" s="14" t="n">
        <f aca="false">IF($C$49=0,0,C69/$C$49)</f>
        <v>0</v>
      </c>
      <c r="E69" s="14" t="n">
        <f aca="false">IF($C$52=0,0,C69/$C$52)</f>
        <v>0</v>
      </c>
      <c r="F69" s="6" t="str">
        <f aca="false">IF(C69&gt;0,"Aparece en la tabla","No aparece, no hay distritos en este nivel")</f>
        <v>No aparece, no hay distritos en este nivel</v>
      </c>
    </row>
    <row r="70" customFormat="false" ht="18" hidden="false" customHeight="true" outlineLevel="0" collapsed="false">
      <c r="A70" s="6"/>
      <c r="B70" s="13" t="n">
        <v>3</v>
      </c>
      <c r="C70" s="10" t="n">
        <f aca="false">IF($C$49=0,0,C64*$C$51/$C$49)</f>
        <v>180</v>
      </c>
      <c r="D70" s="14" t="n">
        <f aca="false">IF($C$49=0,0,C70/$C$49)</f>
        <v>0.18</v>
      </c>
      <c r="E70" s="14" t="n">
        <f aca="false">IF($C$52=0,0,C70/$C$52)</f>
        <v>0.036</v>
      </c>
      <c r="F70" s="6" t="str">
        <f aca="false">IF(C70&gt;0,"Aparece en la tabla","No aparece, no hay distritos en este nivel")</f>
        <v>Aparece en la tabla</v>
      </c>
    </row>
    <row r="71" customFormat="false" ht="28.5" hidden="false" customHeight="true" outlineLevel="0" collapsed="false">
      <c r="A71" s="2" t="s">
        <v>186</v>
      </c>
      <c r="B71" s="2"/>
      <c r="C71" s="2"/>
      <c r="D71" s="2"/>
      <c r="E71" s="2"/>
      <c r="F71" s="2"/>
    </row>
    <row r="72" customFormat="false" ht="13.5" hidden="false" customHeight="true" outlineLevel="0" collapsed="false"/>
    <row r="73" customFormat="false" ht="24" hidden="false" customHeight="true" outlineLevel="0" collapsed="false">
      <c r="A73" s="3" t="s">
        <v>187</v>
      </c>
      <c r="B73" s="3"/>
      <c r="C73" s="3"/>
      <c r="D73" s="3"/>
      <c r="E73" s="3"/>
      <c r="F73" s="3"/>
    </row>
    <row r="74" customFormat="false" ht="41.25" hidden="false" customHeight="true" outlineLevel="0" collapsed="false">
      <c r="A74" s="2" t="s">
        <v>188</v>
      </c>
      <c r="B74" s="2"/>
      <c r="C74" s="2"/>
      <c r="D74" s="2"/>
      <c r="E74" s="2"/>
      <c r="F74" s="2"/>
    </row>
    <row r="75" customFormat="false" ht="30.75" hidden="false" customHeight="true" outlineLevel="0" collapsed="false">
      <c r="A75" s="7" t="s">
        <v>189</v>
      </c>
      <c r="B75" s="7" t="s">
        <v>190</v>
      </c>
      <c r="C75" s="7" t="s">
        <v>191</v>
      </c>
      <c r="D75" s="7" t="s">
        <v>192</v>
      </c>
      <c r="E75" s="7" t="s">
        <v>193</v>
      </c>
      <c r="F75" s="7" t="s">
        <v>194</v>
      </c>
    </row>
    <row r="76" customFormat="false" ht="69.75" hidden="false" customHeight="true" outlineLevel="0" collapsed="false">
      <c r="A76" s="15" t="n">
        <v>1</v>
      </c>
      <c r="B76" s="5" t="s">
        <v>195</v>
      </c>
      <c r="C76" s="6" t="s">
        <v>196</v>
      </c>
      <c r="D76" s="6" t="s">
        <v>197</v>
      </c>
      <c r="E76" s="6" t="s">
        <v>198</v>
      </c>
      <c r="F76" s="6" t="s">
        <v>199</v>
      </c>
    </row>
    <row r="77" customFormat="false" ht="30.75" hidden="false" customHeight="true" outlineLevel="0" collapsed="false">
      <c r="A77" s="15" t="n">
        <v>2</v>
      </c>
      <c r="B77" s="5" t="s">
        <v>200</v>
      </c>
      <c r="C77" s="6" t="s">
        <v>201</v>
      </c>
      <c r="D77" s="6" t="s">
        <v>202</v>
      </c>
      <c r="E77" s="6" t="s">
        <v>203</v>
      </c>
      <c r="F77" s="6" t="s">
        <v>204</v>
      </c>
    </row>
    <row r="78" customFormat="false" ht="43.5" hidden="false" customHeight="true" outlineLevel="0" collapsed="false">
      <c r="A78" s="15" t="n">
        <v>3</v>
      </c>
      <c r="B78" s="5" t="s">
        <v>205</v>
      </c>
      <c r="C78" s="6" t="s">
        <v>206</v>
      </c>
      <c r="D78" s="6" t="s">
        <v>207</v>
      </c>
      <c r="E78" s="6" t="s">
        <v>208</v>
      </c>
      <c r="F78" s="6" t="s">
        <v>209</v>
      </c>
    </row>
    <row r="79" customFormat="false" ht="30.75" hidden="false" customHeight="true" outlineLevel="0" collapsed="false">
      <c r="A79" s="15" t="n">
        <v>10</v>
      </c>
      <c r="B79" s="5" t="s">
        <v>210</v>
      </c>
      <c r="C79" s="6" t="s">
        <v>211</v>
      </c>
      <c r="D79" s="6" t="s">
        <v>212</v>
      </c>
      <c r="E79" s="6" t="s">
        <v>213</v>
      </c>
      <c r="F79" s="6" t="s">
        <v>214</v>
      </c>
    </row>
    <row r="80" customFormat="false" ht="43.5" hidden="false" customHeight="true" outlineLevel="0" collapsed="false">
      <c r="A80" s="15" t="n">
        <v>17</v>
      </c>
      <c r="B80" s="5" t="s">
        <v>215</v>
      </c>
      <c r="C80" s="6" t="s">
        <v>216</v>
      </c>
      <c r="D80" s="6" t="s">
        <v>217</v>
      </c>
      <c r="E80" s="6" t="s">
        <v>218</v>
      </c>
      <c r="F80" s="6" t="s">
        <v>219</v>
      </c>
    </row>
    <row r="81" customFormat="false" ht="43.5" hidden="false" customHeight="true" outlineLevel="0" collapsed="false">
      <c r="A81" s="15" t="n">
        <v>18</v>
      </c>
      <c r="B81" s="5" t="s">
        <v>220</v>
      </c>
      <c r="C81" s="6" t="s">
        <v>221</v>
      </c>
      <c r="D81" s="6" t="s">
        <v>222</v>
      </c>
      <c r="E81" s="6" t="s">
        <v>223</v>
      </c>
      <c r="F81" s="6" t="s">
        <v>224</v>
      </c>
    </row>
    <row r="82" customFormat="false" ht="43.5" hidden="false" customHeight="true" outlineLevel="0" collapsed="false">
      <c r="A82" s="15" t="n">
        <v>23</v>
      </c>
      <c r="B82" s="5" t="s">
        <v>225</v>
      </c>
      <c r="C82" s="6" t="s">
        <v>226</v>
      </c>
      <c r="D82" s="6" t="s">
        <v>227</v>
      </c>
      <c r="E82" s="6" t="s">
        <v>228</v>
      </c>
      <c r="F82" s="6" t="s">
        <v>229</v>
      </c>
    </row>
    <row r="83" customFormat="false" ht="43.5" hidden="false" customHeight="true" outlineLevel="0" collapsed="false">
      <c r="A83" s="15" t="n">
        <v>24</v>
      </c>
      <c r="B83" s="5" t="s">
        <v>230</v>
      </c>
      <c r="C83" s="6" t="s">
        <v>231</v>
      </c>
      <c r="D83" s="6" t="s">
        <v>232</v>
      </c>
      <c r="E83" s="6" t="s">
        <v>228</v>
      </c>
      <c r="F83" s="6" t="s">
        <v>233</v>
      </c>
    </row>
    <row r="84" customFormat="false" ht="43.5" hidden="false" customHeight="true" outlineLevel="0" collapsed="false">
      <c r="A84" s="15" t="n">
        <v>25</v>
      </c>
      <c r="B84" s="5" t="s">
        <v>234</v>
      </c>
      <c r="C84" s="6" t="s">
        <v>235</v>
      </c>
      <c r="D84" s="6" t="s">
        <v>236</v>
      </c>
      <c r="E84" s="6" t="s">
        <v>228</v>
      </c>
      <c r="F84" s="6" t="s">
        <v>237</v>
      </c>
    </row>
    <row r="85" customFormat="false" ht="43.5" hidden="false" customHeight="true" outlineLevel="0" collapsed="false">
      <c r="A85" s="15" t="n">
        <v>26</v>
      </c>
      <c r="B85" s="5" t="s">
        <v>238</v>
      </c>
      <c r="C85" s="6" t="s">
        <v>239</v>
      </c>
      <c r="D85" s="6" t="s">
        <v>240</v>
      </c>
      <c r="E85" s="6" t="s">
        <v>228</v>
      </c>
      <c r="F85" s="6" t="s">
        <v>241</v>
      </c>
    </row>
    <row r="86" customFormat="false" ht="43.5" hidden="false" customHeight="true" outlineLevel="0" collapsed="false">
      <c r="A86" s="15" t="n">
        <v>27</v>
      </c>
      <c r="B86" s="5" t="s">
        <v>242</v>
      </c>
      <c r="C86" s="6" t="s">
        <v>243</v>
      </c>
      <c r="D86" s="6" t="s">
        <v>244</v>
      </c>
      <c r="E86" s="6" t="s">
        <v>245</v>
      </c>
      <c r="F86" s="6" t="s">
        <v>246</v>
      </c>
    </row>
    <row r="87" customFormat="false" ht="43.5" hidden="false" customHeight="true" outlineLevel="0" collapsed="false">
      <c r="A87" s="15" t="n">
        <v>28</v>
      </c>
      <c r="B87" s="5" t="s">
        <v>247</v>
      </c>
      <c r="C87" s="6" t="s">
        <v>248</v>
      </c>
      <c r="D87" s="6" t="s">
        <v>249</v>
      </c>
      <c r="E87" s="6" t="s">
        <v>245</v>
      </c>
      <c r="F87" s="6" t="s">
        <v>250</v>
      </c>
    </row>
    <row r="88" customFormat="false" ht="43.5" hidden="false" customHeight="true" outlineLevel="0" collapsed="false">
      <c r="A88" s="15" t="n">
        <v>29</v>
      </c>
      <c r="B88" s="5" t="s">
        <v>251</v>
      </c>
      <c r="C88" s="6" t="s">
        <v>252</v>
      </c>
      <c r="D88" s="6" t="s">
        <v>253</v>
      </c>
      <c r="E88" s="6" t="s">
        <v>254</v>
      </c>
      <c r="F88" s="6" t="s">
        <v>255</v>
      </c>
    </row>
    <row r="89" customFormat="false" ht="43.5" hidden="false" customHeight="true" outlineLevel="0" collapsed="false">
      <c r="A89" s="15" t="n">
        <v>30</v>
      </c>
      <c r="B89" s="5" t="s">
        <v>256</v>
      </c>
      <c r="C89" s="6" t="s">
        <v>257</v>
      </c>
      <c r="D89" s="6" t="s">
        <v>258</v>
      </c>
      <c r="E89" s="6" t="s">
        <v>245</v>
      </c>
      <c r="F89" s="6" t="s">
        <v>259</v>
      </c>
    </row>
    <row r="90" customFormat="false" ht="43.5" hidden="false" customHeight="true" outlineLevel="0" collapsed="false">
      <c r="A90" s="15" t="n">
        <v>31</v>
      </c>
      <c r="B90" s="5" t="s">
        <v>260</v>
      </c>
      <c r="C90" s="6" t="s">
        <v>261</v>
      </c>
      <c r="D90" s="6" t="s">
        <v>262</v>
      </c>
      <c r="E90" s="6" t="s">
        <v>228</v>
      </c>
      <c r="F90" s="6" t="s">
        <v>263</v>
      </c>
    </row>
    <row r="91" customFormat="false" ht="43.5" hidden="false" customHeight="true" outlineLevel="0" collapsed="false">
      <c r="A91" s="15" t="n">
        <v>33</v>
      </c>
      <c r="B91" s="5" t="s">
        <v>264</v>
      </c>
      <c r="C91" s="6" t="s">
        <v>265</v>
      </c>
      <c r="D91" s="6" t="s">
        <v>266</v>
      </c>
      <c r="E91" s="6" t="s">
        <v>267</v>
      </c>
      <c r="F91" s="6" t="s">
        <v>268</v>
      </c>
    </row>
    <row r="92" customFormat="false" ht="43.5" hidden="false" customHeight="true" outlineLevel="0" collapsed="false">
      <c r="A92" s="15" t="n">
        <v>35</v>
      </c>
      <c r="B92" s="5" t="s">
        <v>269</v>
      </c>
      <c r="C92" s="6" t="s">
        <v>270</v>
      </c>
      <c r="D92" s="6" t="s">
        <v>271</v>
      </c>
      <c r="E92" s="6" t="s">
        <v>245</v>
      </c>
      <c r="F92" s="6" t="s">
        <v>272</v>
      </c>
    </row>
    <row r="93" customFormat="false" ht="43.5" hidden="false" customHeight="true" outlineLevel="0" collapsed="false">
      <c r="A93" s="15" t="n">
        <v>34</v>
      </c>
      <c r="B93" s="5" t="s">
        <v>273</v>
      </c>
      <c r="C93" s="6" t="s">
        <v>274</v>
      </c>
      <c r="D93" s="6" t="s">
        <v>275</v>
      </c>
      <c r="E93" s="6" t="s">
        <v>228</v>
      </c>
      <c r="F93" s="6" t="s">
        <v>276</v>
      </c>
    </row>
    <row r="94" customFormat="false" ht="16.5" hidden="false" customHeight="true" outlineLevel="0" collapsed="false">
      <c r="A94" s="2" t="s">
        <v>277</v>
      </c>
      <c r="B94" s="2"/>
      <c r="C94" s="2"/>
      <c r="D94" s="2"/>
      <c r="E94" s="2"/>
      <c r="F94" s="2"/>
    </row>
    <row r="95" customFormat="false" ht="13.5" hidden="false" customHeight="true" outlineLevel="0" collapsed="false"/>
    <row r="96" customFormat="false" ht="24" hidden="false" customHeight="true" outlineLevel="0" collapsed="false">
      <c r="A96" s="3" t="s">
        <v>278</v>
      </c>
      <c r="B96" s="3"/>
      <c r="C96" s="3"/>
      <c r="D96" s="3"/>
      <c r="E96" s="3"/>
      <c r="F96" s="3"/>
    </row>
    <row r="97" customFormat="false" ht="18" hidden="false" customHeight="true" outlineLevel="0" collapsed="false">
      <c r="A97" s="7" t="s">
        <v>14</v>
      </c>
      <c r="B97" s="7" t="s">
        <v>279</v>
      </c>
      <c r="C97" s="7" t="s">
        <v>280</v>
      </c>
      <c r="D97" s="7" t="s">
        <v>281</v>
      </c>
      <c r="E97" s="7" t="s">
        <v>282</v>
      </c>
      <c r="F97" s="7"/>
    </row>
    <row r="98" customFormat="false" ht="30.75" hidden="false" customHeight="true" outlineLevel="0" collapsed="false">
      <c r="A98" s="6" t="n">
        <v>1</v>
      </c>
      <c r="B98" s="5" t="s">
        <v>283</v>
      </c>
      <c r="C98" s="6" t="s">
        <v>284</v>
      </c>
      <c r="D98" s="6" t="s">
        <v>285</v>
      </c>
      <c r="E98" s="6" t="s">
        <v>286</v>
      </c>
      <c r="F98" s="6"/>
    </row>
    <row r="99" customFormat="false" ht="30.75" hidden="false" customHeight="true" outlineLevel="0" collapsed="false">
      <c r="A99" s="6" t="n">
        <v>2</v>
      </c>
      <c r="B99" s="5" t="s">
        <v>287</v>
      </c>
      <c r="C99" s="6" t="s">
        <v>288</v>
      </c>
      <c r="D99" s="6" t="s">
        <v>289</v>
      </c>
      <c r="E99" s="6"/>
      <c r="F99" s="6"/>
    </row>
    <row r="100" customFormat="false" ht="18" hidden="false" customHeight="true" outlineLevel="0" collapsed="false">
      <c r="A100" s="6" t="n">
        <v>3</v>
      </c>
      <c r="B100" s="5"/>
      <c r="C100" s="6" t="s">
        <v>290</v>
      </c>
      <c r="D100" s="6" t="s">
        <v>291</v>
      </c>
      <c r="E100" s="6"/>
      <c r="F100" s="6"/>
    </row>
    <row r="101" customFormat="false" ht="18" hidden="false" customHeight="true" outlineLevel="0" collapsed="false">
      <c r="A101" s="6" t="n">
        <v>4</v>
      </c>
      <c r="B101" s="5"/>
      <c r="C101" s="6" t="s">
        <v>292</v>
      </c>
      <c r="D101" s="6" t="s">
        <v>293</v>
      </c>
      <c r="E101" s="6" t="s">
        <v>294</v>
      </c>
      <c r="F101" s="6"/>
    </row>
    <row r="102" customFormat="false" ht="43.5" hidden="false" customHeight="true" outlineLevel="0" collapsed="false">
      <c r="A102" s="6" t="n">
        <v>5</v>
      </c>
      <c r="B102" s="5"/>
      <c r="C102" s="6" t="s">
        <v>295</v>
      </c>
      <c r="D102" s="6" t="s">
        <v>296</v>
      </c>
      <c r="E102" s="6"/>
      <c r="F102" s="6"/>
    </row>
    <row r="103" customFormat="false" ht="18" hidden="false" customHeight="true" outlineLevel="0" collapsed="false">
      <c r="A103" s="6" t="n">
        <v>6</v>
      </c>
      <c r="B103" s="5"/>
      <c r="C103" s="6" t="s">
        <v>297</v>
      </c>
      <c r="D103" s="6" t="s">
        <v>298</v>
      </c>
      <c r="E103" s="6"/>
      <c r="F103" s="6"/>
    </row>
    <row r="104" customFormat="false" ht="18" hidden="false" customHeight="true" outlineLevel="0" collapsed="false">
      <c r="A104" s="6" t="n">
        <v>7</v>
      </c>
      <c r="B104" s="5"/>
      <c r="C104" s="6" t="s">
        <v>299</v>
      </c>
      <c r="D104" s="6" t="s">
        <v>300</v>
      </c>
      <c r="E104" s="6"/>
      <c r="F104" s="6"/>
    </row>
    <row r="105" customFormat="false" ht="18" hidden="false" customHeight="true" outlineLevel="0" collapsed="false">
      <c r="A105" s="6" t="n">
        <v>8</v>
      </c>
      <c r="B105" s="5"/>
      <c r="C105" s="6" t="s">
        <v>301</v>
      </c>
      <c r="D105" s="6" t="s">
        <v>302</v>
      </c>
      <c r="E105" s="6"/>
      <c r="F105" s="6"/>
    </row>
    <row r="106" customFormat="false" ht="30.75" hidden="false" customHeight="true" outlineLevel="0" collapsed="false">
      <c r="A106" s="6" t="n">
        <v>9</v>
      </c>
      <c r="B106" s="5" t="s">
        <v>303</v>
      </c>
      <c r="C106" s="6" t="s">
        <v>304</v>
      </c>
      <c r="D106" s="6" t="s">
        <v>296</v>
      </c>
      <c r="E106" s="6" t="s">
        <v>305</v>
      </c>
      <c r="F106" s="6"/>
    </row>
    <row r="107" customFormat="false" ht="30.75" hidden="false" customHeight="true" outlineLevel="0" collapsed="false">
      <c r="A107" s="6" t="n">
        <v>10</v>
      </c>
      <c r="B107" s="5" t="s">
        <v>306</v>
      </c>
      <c r="C107" s="6" t="s">
        <v>307</v>
      </c>
      <c r="D107" s="6" t="s">
        <v>308</v>
      </c>
      <c r="E107" s="6" t="s">
        <v>309</v>
      </c>
      <c r="F107" s="6"/>
    </row>
    <row r="108" customFormat="false" ht="18" hidden="false" customHeight="true" outlineLevel="0" collapsed="false">
      <c r="A108" s="6" t="n">
        <v>11</v>
      </c>
      <c r="B108" s="5"/>
      <c r="C108" s="6" t="s">
        <v>310</v>
      </c>
      <c r="D108" s="6" t="s">
        <v>311</v>
      </c>
      <c r="E108" s="6"/>
      <c r="F108" s="6"/>
    </row>
    <row r="109" customFormat="false" ht="18" hidden="false" customHeight="true" outlineLevel="0" collapsed="false">
      <c r="A109" s="6" t="n">
        <v>12</v>
      </c>
      <c r="B109" s="5"/>
      <c r="C109" s="6" t="s">
        <v>312</v>
      </c>
      <c r="D109" s="6" t="s">
        <v>312</v>
      </c>
      <c r="E109" s="6"/>
      <c r="F109" s="6"/>
    </row>
    <row r="110" customFormat="false" ht="30.75" hidden="false" customHeight="true" outlineLevel="0" collapsed="false">
      <c r="A110" s="6" t="n">
        <v>13</v>
      </c>
      <c r="B110" s="5" t="s">
        <v>313</v>
      </c>
      <c r="C110" s="6" t="s">
        <v>314</v>
      </c>
      <c r="D110" s="6" t="s">
        <v>308</v>
      </c>
      <c r="E110" s="6"/>
      <c r="F110" s="6"/>
    </row>
    <row r="111" customFormat="false" ht="18" hidden="false" customHeight="true" outlineLevel="0" collapsed="false">
      <c r="A111" s="6" t="n">
        <v>14</v>
      </c>
      <c r="B111" s="5"/>
      <c r="C111" s="6" t="s">
        <v>315</v>
      </c>
      <c r="D111" s="6" t="s">
        <v>311</v>
      </c>
      <c r="E111" s="6"/>
      <c r="F111" s="6"/>
    </row>
    <row r="112" customFormat="false" ht="30.75" hidden="false" customHeight="true" outlineLevel="0" collapsed="false">
      <c r="A112" s="6" t="n">
        <v>15</v>
      </c>
      <c r="B112" s="5"/>
      <c r="C112" s="6" t="s">
        <v>312</v>
      </c>
      <c r="D112" s="6" t="s">
        <v>312</v>
      </c>
      <c r="E112" s="6" t="s">
        <v>316</v>
      </c>
      <c r="F112" s="6"/>
    </row>
    <row r="113" customFormat="false" ht="30.75" hidden="false" customHeight="true" outlineLevel="0" collapsed="false">
      <c r="A113" s="6" t="n">
        <v>16</v>
      </c>
      <c r="B113" s="5" t="s">
        <v>317</v>
      </c>
      <c r="C113" s="6" t="s">
        <v>318</v>
      </c>
      <c r="D113" s="6" t="s">
        <v>319</v>
      </c>
      <c r="E113" s="6" t="s">
        <v>320</v>
      </c>
      <c r="F113" s="6"/>
    </row>
    <row r="114" customFormat="false" ht="43.5" hidden="false" customHeight="true" outlineLevel="0" collapsed="false">
      <c r="A114" s="6" t="n">
        <v>17</v>
      </c>
      <c r="B114" s="5" t="s">
        <v>321</v>
      </c>
      <c r="C114" s="6" t="s">
        <v>322</v>
      </c>
      <c r="D114" s="6" t="s">
        <v>323</v>
      </c>
      <c r="E114" s="6" t="s">
        <v>320</v>
      </c>
      <c r="F114" s="6"/>
    </row>
    <row r="115" customFormat="false" ht="30.75" hidden="false" customHeight="true" outlineLevel="0" collapsed="false">
      <c r="A115" s="6" t="n">
        <v>18</v>
      </c>
      <c r="B115" s="5" t="s">
        <v>324</v>
      </c>
      <c r="C115" s="6" t="s">
        <v>325</v>
      </c>
      <c r="D115" s="6" t="s">
        <v>325</v>
      </c>
      <c r="E115" s="6" t="s">
        <v>326</v>
      </c>
      <c r="F115" s="6"/>
    </row>
    <row r="116" customFormat="false" ht="30.75" hidden="false" customHeight="true" outlineLevel="0" collapsed="false">
      <c r="A116" s="6" t="n">
        <v>19</v>
      </c>
      <c r="B116" s="5" t="s">
        <v>327</v>
      </c>
      <c r="C116" s="6" t="s">
        <v>328</v>
      </c>
      <c r="D116" s="6" t="s">
        <v>296</v>
      </c>
      <c r="E116" s="6"/>
      <c r="F116" s="6"/>
    </row>
    <row r="117" customFormat="false" ht="18" hidden="false" customHeight="true" outlineLevel="0" collapsed="false">
      <c r="A117" s="6" t="n">
        <v>20</v>
      </c>
      <c r="B117" s="5"/>
      <c r="C117" s="6" t="s">
        <v>329</v>
      </c>
      <c r="D117" s="6" t="s">
        <v>298</v>
      </c>
      <c r="E117" s="6"/>
      <c r="F117" s="6"/>
    </row>
    <row r="118" customFormat="false" ht="18" hidden="false" customHeight="true" outlineLevel="0" collapsed="false">
      <c r="A118" s="6" t="n">
        <v>21</v>
      </c>
      <c r="B118" s="5"/>
      <c r="C118" s="6" t="s">
        <v>330</v>
      </c>
      <c r="D118" s="6" t="s">
        <v>331</v>
      </c>
      <c r="E118" s="6" t="s">
        <v>332</v>
      </c>
      <c r="F118" s="6"/>
    </row>
    <row r="119" customFormat="false" ht="30.75" hidden="false" customHeight="true" outlineLevel="0" collapsed="false">
      <c r="A119" s="6" t="n">
        <v>22</v>
      </c>
      <c r="B119" s="5" t="s">
        <v>333</v>
      </c>
      <c r="C119" s="6" t="s">
        <v>334</v>
      </c>
      <c r="D119" s="6" t="s">
        <v>308</v>
      </c>
      <c r="E119" s="6"/>
      <c r="F119" s="6"/>
    </row>
    <row r="120" customFormat="false" ht="18" hidden="false" customHeight="true" outlineLevel="0" collapsed="false">
      <c r="A120" s="6" t="n">
        <v>23</v>
      </c>
      <c r="B120" s="5"/>
      <c r="C120" s="6" t="s">
        <v>335</v>
      </c>
      <c r="D120" s="6" t="s">
        <v>311</v>
      </c>
      <c r="E120" s="6"/>
      <c r="F120" s="6"/>
    </row>
    <row r="121" customFormat="false" ht="30.75" hidden="false" customHeight="true" outlineLevel="0" collapsed="false">
      <c r="A121" s="6" t="n">
        <v>24</v>
      </c>
      <c r="B121" s="5"/>
      <c r="C121" s="6" t="s">
        <v>336</v>
      </c>
      <c r="D121" s="6" t="s">
        <v>337</v>
      </c>
      <c r="E121" s="6" t="s">
        <v>338</v>
      </c>
      <c r="F121" s="6"/>
    </row>
    <row r="122" customFormat="false" ht="18" hidden="false" customHeight="true" outlineLevel="0" collapsed="false">
      <c r="A122" s="6" t="n">
        <v>25</v>
      </c>
      <c r="B122" s="5" t="s">
        <v>339</v>
      </c>
      <c r="C122" s="6" t="s">
        <v>340</v>
      </c>
      <c r="D122" s="6" t="s">
        <v>341</v>
      </c>
      <c r="E122" s="6" t="s">
        <v>342</v>
      </c>
      <c r="F122" s="6"/>
    </row>
    <row r="123" customFormat="false" ht="13.5" hidden="false" customHeight="true" outlineLevel="0" collapsed="false"/>
    <row r="124" customFormat="false" ht="24" hidden="false" customHeight="true" outlineLevel="0" collapsed="false">
      <c r="A124" s="3" t="s">
        <v>343</v>
      </c>
      <c r="B124" s="3"/>
      <c r="C124" s="3"/>
      <c r="D124" s="3"/>
      <c r="E124" s="3"/>
      <c r="F124" s="3"/>
    </row>
    <row r="125" customFormat="false" ht="18" hidden="false" customHeight="true" outlineLevel="0" collapsed="false">
      <c r="A125" s="7" t="s">
        <v>14</v>
      </c>
      <c r="B125" s="7" t="s">
        <v>344</v>
      </c>
      <c r="C125" s="7" t="s">
        <v>345</v>
      </c>
      <c r="D125" s="7" t="s">
        <v>78</v>
      </c>
      <c r="E125" s="7" t="s">
        <v>282</v>
      </c>
      <c r="F125" s="7"/>
    </row>
    <row r="126" customFormat="false" ht="69.75" hidden="false" customHeight="true" outlineLevel="0" collapsed="false">
      <c r="A126" s="6" t="n">
        <v>1</v>
      </c>
      <c r="B126" s="5" t="s">
        <v>48</v>
      </c>
      <c r="C126" s="6" t="s">
        <v>346</v>
      </c>
      <c r="D126" s="6" t="s">
        <v>347</v>
      </c>
      <c r="E126" s="6" t="s">
        <v>348</v>
      </c>
      <c r="F126" s="6"/>
    </row>
    <row r="127" customFormat="false" ht="69.75" hidden="false" customHeight="true" outlineLevel="0" collapsed="false">
      <c r="A127" s="6" t="n">
        <v>2</v>
      </c>
      <c r="B127" s="5" t="s">
        <v>349</v>
      </c>
      <c r="C127" s="6" t="s">
        <v>350</v>
      </c>
      <c r="D127" s="6" t="s">
        <v>351</v>
      </c>
      <c r="E127" s="6" t="s">
        <v>352</v>
      </c>
      <c r="F127" s="6"/>
    </row>
    <row r="128" customFormat="false" ht="57" hidden="false" customHeight="true" outlineLevel="0" collapsed="false">
      <c r="A128" s="6" t="n">
        <v>3</v>
      </c>
      <c r="B128" s="5" t="s">
        <v>353</v>
      </c>
      <c r="C128" s="6" t="s">
        <v>354</v>
      </c>
      <c r="D128" s="6" t="s">
        <v>355</v>
      </c>
      <c r="E128" s="6" t="s">
        <v>356</v>
      </c>
      <c r="F128" s="6"/>
    </row>
    <row r="129" customFormat="false" ht="43.5" hidden="false" customHeight="true" outlineLevel="0" collapsed="false">
      <c r="A129" s="6" t="n">
        <v>4</v>
      </c>
      <c r="B129" s="5" t="s">
        <v>357</v>
      </c>
      <c r="C129" s="6" t="s">
        <v>358</v>
      </c>
      <c r="D129" s="6" t="s">
        <v>359</v>
      </c>
      <c r="E129" s="6" t="s">
        <v>360</v>
      </c>
      <c r="F129" s="6"/>
    </row>
    <row r="130" customFormat="false" ht="108.75" hidden="false" customHeight="true" outlineLevel="0" collapsed="false">
      <c r="A130" s="6" t="n">
        <v>5</v>
      </c>
      <c r="B130" s="5" t="s">
        <v>361</v>
      </c>
      <c r="C130" s="6" t="s">
        <v>358</v>
      </c>
      <c r="D130" s="6" t="s">
        <v>362</v>
      </c>
      <c r="E130" s="6" t="s">
        <v>363</v>
      </c>
      <c r="F130" s="6"/>
    </row>
    <row r="131" customFormat="false" ht="43.5" hidden="false" customHeight="true" outlineLevel="0" collapsed="false">
      <c r="A131" s="6" t="n">
        <v>6</v>
      </c>
      <c r="B131" s="5" t="s">
        <v>136</v>
      </c>
      <c r="C131" s="6" t="s">
        <v>364</v>
      </c>
      <c r="D131" s="6" t="s">
        <v>365</v>
      </c>
      <c r="E131" s="6" t="s">
        <v>366</v>
      </c>
      <c r="F131" s="6"/>
    </row>
    <row r="132" customFormat="false" ht="30.75" hidden="false" customHeight="true" outlineLevel="0" collapsed="false">
      <c r="A132" s="6" t="n">
        <v>7</v>
      </c>
      <c r="B132" s="5" t="s">
        <v>367</v>
      </c>
      <c r="C132" s="6" t="s">
        <v>368</v>
      </c>
      <c r="D132" s="6" t="s">
        <v>369</v>
      </c>
      <c r="E132" s="6" t="s">
        <v>370</v>
      </c>
      <c r="F132" s="6"/>
    </row>
    <row r="133" customFormat="false" ht="43.5" hidden="false" customHeight="true" outlineLevel="0" collapsed="false">
      <c r="A133" s="6" t="n">
        <v>8</v>
      </c>
      <c r="B133" s="5" t="s">
        <v>371</v>
      </c>
      <c r="C133" s="6" t="s">
        <v>372</v>
      </c>
      <c r="D133" s="6" t="s">
        <v>373</v>
      </c>
      <c r="E133" s="6" t="s">
        <v>374</v>
      </c>
      <c r="F133" s="6"/>
    </row>
    <row r="134" customFormat="false" ht="82.5" hidden="false" customHeight="true" outlineLevel="0" collapsed="false">
      <c r="A134" s="6" t="n">
        <v>9</v>
      </c>
      <c r="B134" s="5" t="s">
        <v>375</v>
      </c>
      <c r="C134" s="6" t="s">
        <v>376</v>
      </c>
      <c r="D134" s="6" t="s">
        <v>377</v>
      </c>
      <c r="E134" s="6" t="s">
        <v>378</v>
      </c>
      <c r="F134" s="6"/>
    </row>
    <row r="135" customFormat="false" ht="69.75" hidden="false" customHeight="true" outlineLevel="0" collapsed="false">
      <c r="A135" s="6" t="n">
        <v>10</v>
      </c>
      <c r="B135" s="5" t="s">
        <v>379</v>
      </c>
      <c r="C135" s="6" t="s">
        <v>380</v>
      </c>
      <c r="D135" s="6" t="s">
        <v>381</v>
      </c>
      <c r="E135" s="6" t="s">
        <v>382</v>
      </c>
      <c r="F135" s="6"/>
    </row>
    <row r="136" customFormat="false" ht="13.5" hidden="false" customHeight="true" outlineLevel="0" collapsed="false"/>
    <row r="137" customFormat="false" ht="24" hidden="false" customHeight="true" outlineLevel="0" collapsed="false">
      <c r="A137" s="3" t="s">
        <v>383</v>
      </c>
      <c r="B137" s="3"/>
      <c r="C137" s="3"/>
      <c r="D137" s="3"/>
      <c r="E137" s="3"/>
      <c r="F137" s="3"/>
    </row>
    <row r="138" customFormat="false" ht="16.5" hidden="false" customHeight="true" outlineLevel="0" collapsed="false">
      <c r="A138" s="2" t="s">
        <v>384</v>
      </c>
      <c r="B138" s="2"/>
      <c r="C138" s="2"/>
      <c r="D138" s="2"/>
      <c r="E138" s="2"/>
      <c r="F138" s="2"/>
    </row>
    <row r="139" customFormat="false" ht="18" hidden="false" customHeight="true" outlineLevel="0" collapsed="false">
      <c r="A139" s="7" t="s">
        <v>14</v>
      </c>
      <c r="B139" s="7" t="s">
        <v>385</v>
      </c>
      <c r="C139" s="7" t="s">
        <v>386</v>
      </c>
      <c r="D139" s="7" t="s">
        <v>387</v>
      </c>
      <c r="E139" s="7" t="s">
        <v>388</v>
      </c>
      <c r="F139" s="7"/>
    </row>
    <row r="140" customFormat="false" ht="18" hidden="false" customHeight="true" outlineLevel="0" collapsed="false">
      <c r="A140" s="6" t="n">
        <v>1</v>
      </c>
      <c r="B140" s="5" t="s">
        <v>197</v>
      </c>
      <c r="C140" s="6" t="s">
        <v>389</v>
      </c>
      <c r="D140" s="8" t="n">
        <v>59060165</v>
      </c>
      <c r="E140" s="6"/>
      <c r="F140" s="6"/>
    </row>
    <row r="141" customFormat="false" ht="18" hidden="false" customHeight="true" outlineLevel="0" collapsed="false">
      <c r="A141" s="6" t="n">
        <v>2</v>
      </c>
      <c r="B141" s="5" t="s">
        <v>202</v>
      </c>
      <c r="C141" s="6" t="s">
        <v>390</v>
      </c>
      <c r="D141" s="8" t="n">
        <v>351812912</v>
      </c>
      <c r="E141" s="6"/>
      <c r="F141" s="6"/>
    </row>
    <row r="142" customFormat="false" ht="18" hidden="false" customHeight="true" outlineLevel="0" collapsed="false">
      <c r="A142" s="6" t="n">
        <v>3</v>
      </c>
      <c r="B142" s="5" t="s">
        <v>207</v>
      </c>
      <c r="C142" s="6" t="s">
        <v>391</v>
      </c>
      <c r="D142" s="8" t="n">
        <v>148605548</v>
      </c>
      <c r="E142" s="6" t="s">
        <v>392</v>
      </c>
      <c r="F142" s="6"/>
    </row>
    <row r="143" customFormat="false" ht="18" hidden="false" customHeight="true" outlineLevel="0" collapsed="false">
      <c r="A143" s="6" t="n">
        <v>4</v>
      </c>
      <c r="B143" s="5" t="s">
        <v>212</v>
      </c>
      <c r="C143" s="6" t="s">
        <v>389</v>
      </c>
      <c r="D143" s="8" t="n">
        <v>536540055</v>
      </c>
      <c r="E143" s="6"/>
      <c r="F143" s="6"/>
    </row>
    <row r="144" customFormat="false" ht="18" hidden="false" customHeight="true" outlineLevel="0" collapsed="false">
      <c r="A144" s="6" t="n">
        <v>5</v>
      </c>
      <c r="B144" s="5" t="s">
        <v>217</v>
      </c>
      <c r="C144" s="6" t="s">
        <v>146</v>
      </c>
      <c r="D144" s="8" t="n">
        <v>89230554</v>
      </c>
      <c r="E144" s="6" t="s">
        <v>393</v>
      </c>
      <c r="F144" s="6"/>
    </row>
    <row r="145" customFormat="false" ht="18" hidden="false" customHeight="true" outlineLevel="0" collapsed="false">
      <c r="A145" s="6" t="n">
        <v>6</v>
      </c>
      <c r="B145" s="5" t="s">
        <v>222</v>
      </c>
      <c r="C145" s="6" t="s">
        <v>389</v>
      </c>
      <c r="D145" s="8" t="n">
        <v>54821451</v>
      </c>
      <c r="E145" s="6"/>
      <c r="F145" s="6"/>
    </row>
    <row r="146" customFormat="false" ht="18" hidden="false" customHeight="true" outlineLevel="0" collapsed="false">
      <c r="A146" s="6" t="n">
        <v>7</v>
      </c>
      <c r="B146" s="5" t="s">
        <v>227</v>
      </c>
      <c r="C146" s="6" t="s">
        <v>390</v>
      </c>
      <c r="D146" s="8" t="n">
        <v>28177240</v>
      </c>
      <c r="E146" s="6"/>
      <c r="F146" s="6"/>
    </row>
    <row r="147" customFormat="false" ht="18" hidden="false" customHeight="true" outlineLevel="0" collapsed="false">
      <c r="A147" s="6" t="n">
        <v>8</v>
      </c>
      <c r="B147" s="5" t="s">
        <v>394</v>
      </c>
      <c r="C147" s="6" t="s">
        <v>395</v>
      </c>
      <c r="D147" s="8" t="n">
        <v>141652132</v>
      </c>
      <c r="E147" s="6" t="s">
        <v>396</v>
      </c>
      <c r="F147" s="6"/>
    </row>
    <row r="148" customFormat="false" ht="18" hidden="false" customHeight="true" outlineLevel="0" collapsed="false">
      <c r="A148" s="6" t="n">
        <v>9</v>
      </c>
      <c r="B148" s="5" t="s">
        <v>236</v>
      </c>
      <c r="C148" s="6" t="s">
        <v>389</v>
      </c>
      <c r="D148" s="8" t="n">
        <v>6957636</v>
      </c>
      <c r="E148" s="6"/>
      <c r="F148" s="6"/>
    </row>
    <row r="149" customFormat="false" ht="18" hidden="false" customHeight="true" outlineLevel="0" collapsed="false">
      <c r="A149" s="6" t="n">
        <v>10</v>
      </c>
      <c r="B149" s="5" t="s">
        <v>240</v>
      </c>
      <c r="C149" s="6" t="s">
        <v>397</v>
      </c>
      <c r="D149" s="8" t="n">
        <v>87927411</v>
      </c>
      <c r="E149" s="6"/>
      <c r="F149" s="6"/>
    </row>
    <row r="150" customFormat="false" ht="18" hidden="false" customHeight="true" outlineLevel="0" collapsed="false">
      <c r="A150" s="6" t="n">
        <v>11</v>
      </c>
      <c r="B150" s="5" t="s">
        <v>244</v>
      </c>
      <c r="C150" s="6" t="s">
        <v>389</v>
      </c>
      <c r="D150" s="8" t="n">
        <v>30547552</v>
      </c>
      <c r="E150" s="6"/>
      <c r="F150" s="6"/>
    </row>
    <row r="151" customFormat="false" ht="18" hidden="false" customHeight="true" outlineLevel="0" collapsed="false">
      <c r="A151" s="6" t="n">
        <v>12</v>
      </c>
      <c r="B151" s="5" t="s">
        <v>398</v>
      </c>
      <c r="C151" s="6" t="s">
        <v>390</v>
      </c>
      <c r="D151" s="8" t="n">
        <v>752502073</v>
      </c>
      <c r="E151" s="6" t="s">
        <v>399</v>
      </c>
      <c r="F151" s="6"/>
    </row>
    <row r="152" customFormat="false" ht="18" hidden="false" customHeight="true" outlineLevel="0" collapsed="false">
      <c r="A152" s="6" t="n">
        <v>13</v>
      </c>
      <c r="B152" s="5" t="s">
        <v>400</v>
      </c>
      <c r="C152" s="6" t="s">
        <v>390</v>
      </c>
      <c r="D152" s="8" t="n">
        <v>116682275</v>
      </c>
      <c r="E152" s="6" t="s">
        <v>401</v>
      </c>
      <c r="F152" s="6"/>
    </row>
    <row r="153" customFormat="false" ht="18" hidden="false" customHeight="true" outlineLevel="0" collapsed="false">
      <c r="A153" s="6" t="n">
        <v>14</v>
      </c>
      <c r="B153" s="5" t="s">
        <v>258</v>
      </c>
      <c r="C153" s="6" t="s">
        <v>390</v>
      </c>
      <c r="D153" s="8" t="n">
        <v>57157116</v>
      </c>
      <c r="E153" s="6"/>
      <c r="F153" s="6"/>
    </row>
    <row r="154" customFormat="false" ht="18" hidden="false" customHeight="true" outlineLevel="0" collapsed="false">
      <c r="A154" s="6" t="n">
        <v>15</v>
      </c>
      <c r="B154" s="5" t="s">
        <v>402</v>
      </c>
      <c r="C154" s="6" t="s">
        <v>389</v>
      </c>
      <c r="D154" s="8" t="n">
        <v>264063963</v>
      </c>
      <c r="E154" s="6" t="s">
        <v>403</v>
      </c>
      <c r="F154" s="6"/>
    </row>
    <row r="155" customFormat="false" ht="18" hidden="false" customHeight="true" outlineLevel="0" collapsed="false">
      <c r="A155" s="6" t="n">
        <v>16</v>
      </c>
      <c r="B155" s="5" t="s">
        <v>266</v>
      </c>
      <c r="C155" s="6" t="s">
        <v>390</v>
      </c>
      <c r="D155" s="8" t="n">
        <v>51254539</v>
      </c>
      <c r="E155" s="6"/>
      <c r="F155" s="6"/>
    </row>
    <row r="156" customFormat="false" ht="18" hidden="false" customHeight="true" outlineLevel="0" collapsed="false">
      <c r="A156" s="6" t="n">
        <v>17</v>
      </c>
      <c r="B156" s="5" t="s">
        <v>271</v>
      </c>
      <c r="C156" s="6" t="s">
        <v>395</v>
      </c>
      <c r="D156" s="8" t="n">
        <v>1764204</v>
      </c>
      <c r="E156" s="6"/>
      <c r="F156" s="6"/>
    </row>
    <row r="157" customFormat="false" ht="18" hidden="false" customHeight="true" outlineLevel="0" collapsed="false">
      <c r="A157" s="6" t="n">
        <v>18</v>
      </c>
      <c r="B157" s="5" t="s">
        <v>275</v>
      </c>
      <c r="C157" s="6" t="s">
        <v>389</v>
      </c>
      <c r="D157" s="8" t="n">
        <v>80665720</v>
      </c>
      <c r="E157" s="6" t="s">
        <v>404</v>
      </c>
      <c r="F157" s="6"/>
    </row>
    <row r="158" customFormat="false" ht="18" hidden="false" customHeight="true" outlineLevel="0" collapsed="false">
      <c r="A158" s="6"/>
      <c r="B158" s="5" t="s">
        <v>405</v>
      </c>
      <c r="C158" s="6"/>
      <c r="D158" s="16" t="n">
        <f aca="false">SUM(D140:D157)</f>
        <v>2859422546</v>
      </c>
      <c r="E158" s="6" t="s">
        <v>406</v>
      </c>
      <c r="F158" s="6"/>
    </row>
    <row r="159" customFormat="false" ht="18" hidden="false" customHeight="true" outlineLevel="0" collapsed="false">
      <c r="A159" s="6"/>
      <c r="B159" s="5" t="s">
        <v>407</v>
      </c>
      <c r="C159" s="6"/>
      <c r="D159" s="8" t="n">
        <v>2859422546</v>
      </c>
      <c r="E159" s="6" t="s">
        <v>408</v>
      </c>
      <c r="F159" s="6"/>
    </row>
    <row r="160" customFormat="false" ht="18" hidden="false" customHeight="true" outlineLevel="0" collapsed="false">
      <c r="A160" s="6"/>
      <c r="B160" s="5" t="s">
        <v>409</v>
      </c>
      <c r="C160" s="6"/>
      <c r="D160" s="17" t="n">
        <f aca="false">D158-D159</f>
        <v>0</v>
      </c>
      <c r="E160" s="6" t="s">
        <v>410</v>
      </c>
      <c r="F160" s="6"/>
    </row>
    <row r="161" customFormat="false" ht="7.5" hidden="false" customHeight="true" outlineLevel="0" collapsed="false"/>
    <row r="162" customFormat="false" ht="18" hidden="false" customHeight="true" outlineLevel="0" collapsed="false">
      <c r="A162" s="7" t="s">
        <v>14</v>
      </c>
      <c r="B162" s="7" t="s">
        <v>411</v>
      </c>
      <c r="C162" s="7" t="s">
        <v>412</v>
      </c>
      <c r="D162" s="7" t="s">
        <v>413</v>
      </c>
      <c r="E162" s="7"/>
      <c r="F162" s="7"/>
    </row>
    <row r="163" customFormat="false" ht="30.75" hidden="false" customHeight="true" outlineLevel="0" collapsed="false">
      <c r="A163" s="6" t="n">
        <v>1</v>
      </c>
      <c r="B163" s="5" t="s">
        <v>414</v>
      </c>
      <c r="C163" s="6" t="s">
        <v>415</v>
      </c>
      <c r="D163" s="6" t="s">
        <v>416</v>
      </c>
      <c r="E163" s="6"/>
      <c r="F163" s="6"/>
    </row>
    <row r="164" customFormat="false" ht="43.5" hidden="false" customHeight="true" outlineLevel="0" collapsed="false">
      <c r="A164" s="6" t="n">
        <v>2</v>
      </c>
      <c r="B164" s="5" t="s">
        <v>156</v>
      </c>
      <c r="C164" s="6" t="s">
        <v>417</v>
      </c>
      <c r="D164" s="6" t="s">
        <v>418</v>
      </c>
      <c r="E164" s="6"/>
      <c r="F164" s="6"/>
    </row>
    <row r="165" customFormat="false" ht="30.75" hidden="false" customHeight="true" outlineLevel="0" collapsed="false">
      <c r="A165" s="6" t="n">
        <v>3</v>
      </c>
      <c r="B165" s="5" t="s">
        <v>419</v>
      </c>
      <c r="C165" s="6" t="s">
        <v>420</v>
      </c>
      <c r="D165" s="6" t="s">
        <v>421</v>
      </c>
      <c r="E165" s="6"/>
      <c r="F165" s="6"/>
    </row>
    <row r="166" customFormat="false" ht="18" hidden="false" customHeight="true" outlineLevel="0" collapsed="false">
      <c r="A166" s="6" t="n">
        <v>4</v>
      </c>
      <c r="B166" s="5" t="s">
        <v>422</v>
      </c>
      <c r="C166" s="6" t="s">
        <v>423</v>
      </c>
      <c r="D166" s="6" t="s">
        <v>424</v>
      </c>
      <c r="E166" s="6"/>
      <c r="F166" s="6"/>
    </row>
    <row r="167" customFormat="false" ht="18" hidden="false" customHeight="true" outlineLevel="0" collapsed="false">
      <c r="A167" s="6" t="n">
        <v>5</v>
      </c>
      <c r="B167" s="5" t="s">
        <v>425</v>
      </c>
      <c r="C167" s="6" t="s">
        <v>426</v>
      </c>
      <c r="D167" s="6" t="s">
        <v>427</v>
      </c>
      <c r="E167" s="6"/>
      <c r="F167" s="6"/>
    </row>
    <row r="168" customFormat="false" ht="30.75" hidden="false" customHeight="true" outlineLevel="0" collapsed="false">
      <c r="A168" s="6" t="n">
        <v>6</v>
      </c>
      <c r="B168" s="5" t="s">
        <v>428</v>
      </c>
      <c r="C168" s="6" t="s">
        <v>429</v>
      </c>
      <c r="D168" s="6" t="s">
        <v>430</v>
      </c>
      <c r="E168" s="6"/>
      <c r="F168" s="6"/>
    </row>
    <row r="169" customFormat="false" ht="30.75" hidden="false" customHeight="true" outlineLevel="0" collapsed="false">
      <c r="A169" s="6" t="n">
        <v>7</v>
      </c>
      <c r="B169" s="5" t="s">
        <v>431</v>
      </c>
      <c r="C169" s="6" t="s">
        <v>432</v>
      </c>
      <c r="D169" s="6" t="s">
        <v>433</v>
      </c>
      <c r="E169" s="6"/>
      <c r="F169" s="6"/>
    </row>
    <row r="170" customFormat="false" ht="43.5" hidden="false" customHeight="true" outlineLevel="0" collapsed="false">
      <c r="A170" s="6" t="n">
        <v>8</v>
      </c>
      <c r="B170" s="5" t="s">
        <v>434</v>
      </c>
      <c r="C170" s="6" t="s">
        <v>435</v>
      </c>
      <c r="D170" s="6" t="s">
        <v>436</v>
      </c>
      <c r="E170" s="6"/>
      <c r="F170" s="6"/>
    </row>
    <row r="171" customFormat="false" ht="30.75" hidden="false" customHeight="true" outlineLevel="0" collapsed="false">
      <c r="A171" s="6" t="n">
        <v>9</v>
      </c>
      <c r="B171" s="5" t="s">
        <v>48</v>
      </c>
      <c r="C171" s="6" t="s">
        <v>437</v>
      </c>
      <c r="D171" s="6" t="s">
        <v>436</v>
      </c>
      <c r="E171" s="6"/>
      <c r="F171" s="6"/>
    </row>
    <row r="172" customFormat="false" ht="13.5" hidden="false" customHeight="true" outlineLevel="0" collapsed="false"/>
    <row r="173" customFormat="false" ht="24" hidden="false" customHeight="true" outlineLevel="0" collapsed="false">
      <c r="A173" s="3" t="s">
        <v>438</v>
      </c>
      <c r="B173" s="3"/>
      <c r="C173" s="3"/>
      <c r="D173" s="3"/>
      <c r="E173" s="3"/>
      <c r="F173" s="3"/>
    </row>
    <row r="174" customFormat="false" ht="16.5" hidden="false" customHeight="true" outlineLevel="0" collapsed="false">
      <c r="A174" s="2" t="s">
        <v>439</v>
      </c>
      <c r="B174" s="2"/>
      <c r="C174" s="2"/>
      <c r="D174" s="2"/>
      <c r="E174" s="2"/>
      <c r="F174" s="2"/>
    </row>
    <row r="175" customFormat="false" ht="18" hidden="false" customHeight="true" outlineLevel="0" collapsed="false">
      <c r="A175" s="7" t="s">
        <v>14</v>
      </c>
      <c r="B175" s="7" t="s">
        <v>440</v>
      </c>
      <c r="C175" s="7" t="s">
        <v>441</v>
      </c>
      <c r="D175" s="7" t="s">
        <v>442</v>
      </c>
      <c r="E175" s="7" t="s">
        <v>443</v>
      </c>
      <c r="F175" s="7" t="s">
        <v>444</v>
      </c>
    </row>
    <row r="176" customFormat="false" ht="96" hidden="false" customHeight="true" outlineLevel="0" collapsed="false">
      <c r="A176" s="6" t="n">
        <v>1</v>
      </c>
      <c r="B176" s="5" t="s">
        <v>445</v>
      </c>
      <c r="C176" s="6" t="s">
        <v>446</v>
      </c>
      <c r="D176" s="6" t="s">
        <v>447</v>
      </c>
      <c r="E176" s="6" t="s">
        <v>448</v>
      </c>
      <c r="F176" s="18" t="s">
        <v>449</v>
      </c>
    </row>
    <row r="177" customFormat="false" ht="121.5" hidden="false" customHeight="true" outlineLevel="0" collapsed="false">
      <c r="A177" s="6" t="n">
        <v>2</v>
      </c>
      <c r="B177" s="5" t="s">
        <v>450</v>
      </c>
      <c r="C177" s="6" t="s">
        <v>451</v>
      </c>
      <c r="D177" s="6" t="s">
        <v>452</v>
      </c>
      <c r="E177" s="6" t="s">
        <v>453</v>
      </c>
      <c r="F177" s="18" t="s">
        <v>449</v>
      </c>
    </row>
    <row r="178" customFormat="false" ht="82.5" hidden="false" customHeight="true" outlineLevel="0" collapsed="false">
      <c r="A178" s="6" t="n">
        <v>3</v>
      </c>
      <c r="B178" s="5" t="s">
        <v>454</v>
      </c>
      <c r="C178" s="6" t="s">
        <v>455</v>
      </c>
      <c r="D178" s="6" t="s">
        <v>456</v>
      </c>
      <c r="E178" s="6" t="s">
        <v>457</v>
      </c>
      <c r="F178" s="18" t="s">
        <v>449</v>
      </c>
    </row>
    <row r="179" customFormat="false" ht="96" hidden="false" customHeight="true" outlineLevel="0" collapsed="false">
      <c r="A179" s="6" t="n">
        <v>4</v>
      </c>
      <c r="B179" s="5" t="s">
        <v>458</v>
      </c>
      <c r="C179" s="6" t="s">
        <v>459</v>
      </c>
      <c r="D179" s="6" t="s">
        <v>460</v>
      </c>
      <c r="E179" s="6" t="s">
        <v>461</v>
      </c>
      <c r="F179" s="19" t="s">
        <v>462</v>
      </c>
    </row>
    <row r="180" customFormat="false" ht="43.5" hidden="false" customHeight="true" outlineLevel="0" collapsed="false">
      <c r="A180" s="6" t="n">
        <v>5</v>
      </c>
      <c r="B180" s="5" t="s">
        <v>463</v>
      </c>
      <c r="C180" s="6" t="s">
        <v>464</v>
      </c>
      <c r="D180" s="6" t="s">
        <v>465</v>
      </c>
      <c r="E180" s="6" t="s">
        <v>466</v>
      </c>
      <c r="F180" s="19" t="s">
        <v>462</v>
      </c>
    </row>
    <row r="181" customFormat="false" ht="96" hidden="false" customHeight="true" outlineLevel="0" collapsed="false">
      <c r="A181" s="6" t="n">
        <v>6</v>
      </c>
      <c r="B181" s="5" t="s">
        <v>467</v>
      </c>
      <c r="C181" s="6" t="s">
        <v>468</v>
      </c>
      <c r="D181" s="6" t="s">
        <v>469</v>
      </c>
      <c r="E181" s="6" t="s">
        <v>470</v>
      </c>
      <c r="F181" s="19" t="s">
        <v>462</v>
      </c>
    </row>
    <row r="182" customFormat="false" ht="43.5" hidden="false" customHeight="true" outlineLevel="0" collapsed="false">
      <c r="A182" s="6" t="n">
        <v>7</v>
      </c>
      <c r="B182" s="5" t="s">
        <v>471</v>
      </c>
      <c r="C182" s="6" t="s">
        <v>472</v>
      </c>
      <c r="D182" s="6" t="s">
        <v>473</v>
      </c>
      <c r="E182" s="6" t="s">
        <v>474</v>
      </c>
      <c r="F182" s="19" t="s">
        <v>462</v>
      </c>
    </row>
    <row r="183" customFormat="false" ht="43.5" hidden="false" customHeight="true" outlineLevel="0" collapsed="false">
      <c r="A183" s="6" t="n">
        <v>8</v>
      </c>
      <c r="B183" s="5" t="s">
        <v>475</v>
      </c>
      <c r="C183" s="6" t="s">
        <v>476</v>
      </c>
      <c r="D183" s="6" t="s">
        <v>477</v>
      </c>
      <c r="E183" s="6" t="s">
        <v>478</v>
      </c>
      <c r="F183" s="19" t="s">
        <v>462</v>
      </c>
    </row>
    <row r="184" customFormat="false" ht="57" hidden="false" customHeight="true" outlineLevel="0" collapsed="false">
      <c r="A184" s="6" t="n">
        <v>9</v>
      </c>
      <c r="B184" s="5" t="s">
        <v>479</v>
      </c>
      <c r="C184" s="6" t="s">
        <v>480</v>
      </c>
      <c r="D184" s="6" t="s">
        <v>481</v>
      </c>
      <c r="E184" s="6" t="s">
        <v>482</v>
      </c>
      <c r="F184" s="19" t="s">
        <v>462</v>
      </c>
    </row>
    <row r="185" customFormat="false" ht="43.5" hidden="false" customHeight="true" outlineLevel="0" collapsed="false">
      <c r="A185" s="6" t="n">
        <v>10</v>
      </c>
      <c r="B185" s="5" t="s">
        <v>483</v>
      </c>
      <c r="C185" s="6" t="s">
        <v>484</v>
      </c>
      <c r="D185" s="6" t="s">
        <v>485</v>
      </c>
      <c r="E185" s="6" t="s">
        <v>486</v>
      </c>
      <c r="F185" s="5" t="s">
        <v>487</v>
      </c>
    </row>
    <row r="186" customFormat="false" ht="69.75" hidden="false" customHeight="true" outlineLevel="0" collapsed="false">
      <c r="A186" s="6" t="n">
        <v>11</v>
      </c>
      <c r="B186" s="5" t="s">
        <v>488</v>
      </c>
      <c r="C186" s="6" t="s">
        <v>489</v>
      </c>
      <c r="D186" s="6" t="s">
        <v>490</v>
      </c>
      <c r="E186" s="6" t="s">
        <v>491</v>
      </c>
      <c r="F186" s="5" t="s">
        <v>487</v>
      </c>
    </row>
    <row r="187" customFormat="false" ht="30.75" hidden="false" customHeight="true" outlineLevel="0" collapsed="false">
      <c r="A187" s="6" t="n">
        <v>12</v>
      </c>
      <c r="B187" s="5" t="s">
        <v>492</v>
      </c>
      <c r="C187" s="6" t="s">
        <v>493</v>
      </c>
      <c r="D187" s="6" t="s">
        <v>494</v>
      </c>
      <c r="E187" s="6" t="s">
        <v>495</v>
      </c>
      <c r="F187" s="5" t="s">
        <v>487</v>
      </c>
    </row>
    <row r="188" customFormat="false" ht="30.75" hidden="false" customHeight="true" outlineLevel="0" collapsed="false">
      <c r="A188" s="6" t="n">
        <v>13</v>
      </c>
      <c r="B188" s="5" t="s">
        <v>496</v>
      </c>
      <c r="C188" s="6" t="s">
        <v>497</v>
      </c>
      <c r="D188" s="6" t="s">
        <v>498</v>
      </c>
      <c r="E188" s="6" t="s">
        <v>499</v>
      </c>
      <c r="F188" s="5" t="s">
        <v>487</v>
      </c>
    </row>
    <row r="189" customFormat="false" ht="43.5" hidden="false" customHeight="true" outlineLevel="0" collapsed="false">
      <c r="A189" s="6" t="n">
        <v>14</v>
      </c>
      <c r="B189" s="5" t="s">
        <v>500</v>
      </c>
      <c r="C189" s="6" t="s">
        <v>501</v>
      </c>
      <c r="D189" s="6" t="s">
        <v>502</v>
      </c>
      <c r="E189" s="6" t="s">
        <v>503</v>
      </c>
      <c r="F189" s="5" t="s">
        <v>487</v>
      </c>
    </row>
    <row r="190" customFormat="false" ht="13.5" hidden="false" customHeight="true" outlineLevel="0" collapsed="false"/>
    <row r="191" customFormat="false" ht="24" hidden="false" customHeight="true" outlineLevel="0" collapsed="false">
      <c r="A191" s="3" t="s">
        <v>504</v>
      </c>
      <c r="B191" s="3"/>
      <c r="C191" s="3"/>
      <c r="D191" s="3"/>
      <c r="E191" s="3"/>
      <c r="F191" s="3"/>
    </row>
    <row r="192" customFormat="false" ht="16.5" hidden="false" customHeight="true" outlineLevel="0" collapsed="false">
      <c r="A192" s="2" t="s">
        <v>505</v>
      </c>
      <c r="B192" s="2"/>
      <c r="C192" s="2"/>
      <c r="D192" s="2"/>
      <c r="E192" s="2"/>
      <c r="F192" s="2"/>
    </row>
    <row r="193" customFormat="false" ht="18" hidden="false" customHeight="true" outlineLevel="0" collapsed="false">
      <c r="A193" s="7" t="s">
        <v>14</v>
      </c>
      <c r="B193" s="7" t="s">
        <v>506</v>
      </c>
      <c r="C193" s="7" t="s">
        <v>507</v>
      </c>
      <c r="D193" s="7" t="s">
        <v>508</v>
      </c>
      <c r="E193" s="7" t="s">
        <v>509</v>
      </c>
      <c r="F193" s="7" t="s">
        <v>510</v>
      </c>
    </row>
    <row r="194" customFormat="false" ht="30.75" hidden="false" customHeight="true" outlineLevel="0" collapsed="false">
      <c r="A194" s="6" t="n">
        <v>1</v>
      </c>
      <c r="B194" s="5" t="s">
        <v>511</v>
      </c>
      <c r="C194" s="6" t="s">
        <v>512</v>
      </c>
      <c r="D194" s="6" t="s">
        <v>513</v>
      </c>
      <c r="E194" s="6"/>
      <c r="F194" s="6"/>
    </row>
    <row r="195" customFormat="false" ht="30.75" hidden="false" customHeight="true" outlineLevel="0" collapsed="false">
      <c r="A195" s="6" t="n">
        <v>2</v>
      </c>
      <c r="B195" s="5" t="s">
        <v>514</v>
      </c>
      <c r="C195" s="6" t="s">
        <v>515</v>
      </c>
      <c r="D195" s="6" t="s">
        <v>516</v>
      </c>
      <c r="E195" s="6"/>
      <c r="F195" s="6"/>
    </row>
    <row r="196" customFormat="false" ht="43.5" hidden="false" customHeight="true" outlineLevel="0" collapsed="false">
      <c r="A196" s="6" t="n">
        <v>3</v>
      </c>
      <c r="B196" s="5" t="s">
        <v>517</v>
      </c>
      <c r="C196" s="6" t="s">
        <v>518</v>
      </c>
      <c r="D196" s="6" t="s">
        <v>519</v>
      </c>
      <c r="E196" s="6"/>
      <c r="F196" s="6"/>
    </row>
    <row r="197" customFormat="false" ht="30.75" hidden="false" customHeight="true" outlineLevel="0" collapsed="false">
      <c r="A197" s="6" t="n">
        <v>4</v>
      </c>
      <c r="B197" s="5" t="s">
        <v>520</v>
      </c>
      <c r="C197" s="6" t="s">
        <v>521</v>
      </c>
      <c r="D197" s="6" t="s">
        <v>522</v>
      </c>
      <c r="E197" s="6"/>
      <c r="F197" s="6"/>
    </row>
    <row r="198" customFormat="false" ht="30.75" hidden="false" customHeight="true" outlineLevel="0" collapsed="false">
      <c r="A198" s="6" t="n">
        <v>5</v>
      </c>
      <c r="B198" s="5" t="s">
        <v>523</v>
      </c>
      <c r="C198" s="6" t="s">
        <v>524</v>
      </c>
      <c r="D198" s="6" t="s">
        <v>525</v>
      </c>
      <c r="E198" s="6"/>
      <c r="F198" s="6"/>
    </row>
    <row r="199" customFormat="false" ht="30.75" hidden="false" customHeight="true" outlineLevel="0" collapsed="false">
      <c r="A199" s="6" t="n">
        <v>6</v>
      </c>
      <c r="B199" s="5" t="s">
        <v>526</v>
      </c>
      <c r="C199" s="6" t="s">
        <v>527</v>
      </c>
      <c r="D199" s="6" t="s">
        <v>528</v>
      </c>
      <c r="E199" s="6"/>
      <c r="F199" s="6"/>
    </row>
    <row r="200" customFormat="false" ht="30.75" hidden="false" customHeight="true" outlineLevel="0" collapsed="false">
      <c r="A200" s="6" t="n">
        <v>7</v>
      </c>
      <c r="B200" s="5" t="s">
        <v>529</v>
      </c>
      <c r="C200" s="6" t="s">
        <v>530</v>
      </c>
      <c r="D200" s="6" t="s">
        <v>531</v>
      </c>
      <c r="E200" s="6"/>
      <c r="F200" s="6"/>
    </row>
    <row r="201" customFormat="false" ht="43.5" hidden="false" customHeight="true" outlineLevel="0" collapsed="false">
      <c r="A201" s="6" t="n">
        <v>8</v>
      </c>
      <c r="B201" s="5" t="s">
        <v>532</v>
      </c>
      <c r="C201" s="6" t="s">
        <v>533</v>
      </c>
      <c r="D201" s="6" t="s">
        <v>534</v>
      </c>
      <c r="E201" s="6"/>
      <c r="F201" s="6"/>
    </row>
    <row r="202" customFormat="false" ht="30.75" hidden="false" customHeight="true" outlineLevel="0" collapsed="false">
      <c r="A202" s="6" t="n">
        <v>9</v>
      </c>
      <c r="B202" s="5" t="s">
        <v>535</v>
      </c>
      <c r="C202" s="6" t="s">
        <v>536</v>
      </c>
      <c r="D202" s="6" t="s">
        <v>537</v>
      </c>
      <c r="E202" s="6"/>
      <c r="F202" s="6"/>
    </row>
    <row r="203" customFormat="false" ht="30.75" hidden="false" customHeight="true" outlineLevel="0" collapsed="false">
      <c r="A203" s="6" t="n">
        <v>10</v>
      </c>
      <c r="B203" s="5" t="s">
        <v>538</v>
      </c>
      <c r="C203" s="6" t="s">
        <v>539</v>
      </c>
      <c r="D203" s="6" t="s">
        <v>540</v>
      </c>
      <c r="E203" s="6"/>
      <c r="F203" s="6"/>
    </row>
    <row r="204" customFormat="false" ht="30.75" hidden="false" customHeight="true" outlineLevel="0" collapsed="false">
      <c r="A204" s="6" t="n">
        <v>11</v>
      </c>
      <c r="B204" s="5" t="s">
        <v>541</v>
      </c>
      <c r="C204" s="6" t="s">
        <v>542</v>
      </c>
      <c r="D204" s="6" t="s">
        <v>543</v>
      </c>
      <c r="E204" s="6"/>
      <c r="F204" s="6"/>
    </row>
    <row r="205" customFormat="false" ht="30.75" hidden="false" customHeight="true" outlineLevel="0" collapsed="false">
      <c r="A205" s="6" t="n">
        <v>12</v>
      </c>
      <c r="B205" s="5" t="s">
        <v>544</v>
      </c>
      <c r="C205" s="6" t="s">
        <v>545</v>
      </c>
      <c r="D205" s="6" t="s">
        <v>546</v>
      </c>
      <c r="E205" s="6"/>
      <c r="F205" s="6"/>
    </row>
    <row r="206" customFormat="false" ht="43.5" hidden="false" customHeight="true" outlineLevel="0" collapsed="false">
      <c r="A206" s="6" t="n">
        <v>13</v>
      </c>
      <c r="B206" s="5" t="s">
        <v>547</v>
      </c>
      <c r="C206" s="6" t="s">
        <v>548</v>
      </c>
      <c r="D206" s="6" t="s">
        <v>549</v>
      </c>
      <c r="E206" s="6"/>
      <c r="F206" s="6"/>
    </row>
    <row r="207" customFormat="false" ht="18" hidden="false" customHeight="true" outlineLevel="0" collapsed="false">
      <c r="A207" s="6" t="n">
        <v>14</v>
      </c>
      <c r="B207" s="5" t="s">
        <v>550</v>
      </c>
      <c r="C207" s="6" t="s">
        <v>551</v>
      </c>
      <c r="D207" s="6" t="s">
        <v>552</v>
      </c>
      <c r="E207" s="6"/>
      <c r="F207" s="6"/>
    </row>
  </sheetData>
  <mergeCells count="98">
    <mergeCell ref="A1:F1"/>
    <mergeCell ref="A2:F2"/>
    <mergeCell ref="A4:F4"/>
    <mergeCell ref="C5:F5"/>
    <mergeCell ref="C6:F6"/>
    <mergeCell ref="C7:F7"/>
    <mergeCell ref="C8:F8"/>
    <mergeCell ref="C9:F9"/>
    <mergeCell ref="A11:F11"/>
    <mergeCell ref="A26:F26"/>
    <mergeCell ref="A39:F39"/>
    <mergeCell ref="A47:F47"/>
    <mergeCell ref="A48:F48"/>
    <mergeCell ref="C49:D49"/>
    <mergeCell ref="C50:D50"/>
    <mergeCell ref="C51:D51"/>
    <mergeCell ref="C52:D52"/>
    <mergeCell ref="A71:F71"/>
    <mergeCell ref="A73:F73"/>
    <mergeCell ref="A74:F74"/>
    <mergeCell ref="A94:F94"/>
    <mergeCell ref="A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A124:F124"/>
    <mergeCell ref="E125:F125"/>
    <mergeCell ref="E126:F126"/>
    <mergeCell ref="E127:F127"/>
    <mergeCell ref="E128:F128"/>
    <mergeCell ref="E129:F129"/>
    <mergeCell ref="E130:F130"/>
    <mergeCell ref="E131:F131"/>
    <mergeCell ref="E132:F132"/>
    <mergeCell ref="E133:F133"/>
    <mergeCell ref="E134:F134"/>
    <mergeCell ref="E135:F135"/>
    <mergeCell ref="A137:F137"/>
    <mergeCell ref="A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D162:F162"/>
    <mergeCell ref="D163:F163"/>
    <mergeCell ref="D164:F164"/>
    <mergeCell ref="D165:F165"/>
    <mergeCell ref="D166:F166"/>
    <mergeCell ref="D167:F167"/>
    <mergeCell ref="D168:F168"/>
    <mergeCell ref="D169:F169"/>
    <mergeCell ref="D170:F170"/>
    <mergeCell ref="D171:F171"/>
    <mergeCell ref="A173:F173"/>
    <mergeCell ref="A174:F174"/>
    <mergeCell ref="A191:F191"/>
    <mergeCell ref="A192:F192"/>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2026-10-29T23:11:41Z</dcterms:created>
  <dc:creator>openpyxl</dc:creator>
  <dc:description/>
  <dc:language>en-US</dc:language>
  <cp:lastModifiedBy/>
  <dcterms:modified xsi:type="dcterms:W3CDTF">2026-10-29T23:11:41Z</dcterms:modified>
  <cp:revision>0</cp:revision>
  <dc:subject/>
  <dc:title>Guía del proceso de Riesgos Físicos</dc:title>
</cp:coreProperties>
</file>

<file path=docProps/custom.xml><?xml version="1.0" encoding="utf-8"?>
<Properties xmlns="http://schemas.openxmlformats.org/officeDocument/2006/custom-properties" xmlns:vt="http://schemas.openxmlformats.org/officeDocument/2006/docPropsVTypes"/>
</file>