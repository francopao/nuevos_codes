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ME" sheetId="1" state="visible" r:id="rId3"/>
    <sheet name="P_Empresas" sheetId="2" state="visible" r:id="rId4"/>
    <sheet name="P_Temas" sheetId="3" state="visible" r:id="rId5"/>
    <sheet name="P_Motivos" sheetId="4" state="visible" r:id="rId6"/>
    <sheet name="P_Experiencia" sheetId="5" state="visible" r:id="rId7"/>
    <sheet name="P_Listas" sheetId="6" state="visible" r:id="rId8"/>
    <sheet name="Juntas" sheetId="7" state="visible" r:id="rId9"/>
    <sheet name="Punto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<sst xmlns="http://schemas.openxmlformats.org/spreadsheetml/2006/main" count="331" uniqueCount="221">
  <si>
    <t xml:space="preserve">REPOSITORIO ÚNICO DE JUNTAS DE ACCIONISTAS - AFP Integra</t>
  </si>
  <si>
    <t xml:space="preserve">Un solo archivo para todos los años. No se crea un archivo nuevo por año ni una hoja nueva por empresa.</t>
  </si>
  <si>
    <t xml:space="preserve">HOJAS QUE EDITA EL USUARIO (fondo amarillo = celda de ingreso)</t>
  </si>
  <si>
    <t xml:space="preserve">  Juntas      1 fila = 1 junta. Junta_ID es la llave. Formato: TICKER-AAAA-TIPO-N  (ej. VOLCAN-2026-JGA-1)</t>
  </si>
  <si>
    <t xml:space="preserve">              Esto resuelve el caso 'Volcan' vs 'Volcan 10.06.26': misma empresa, dos Junta_ID distintos.</t>
  </si>
  <si>
    <t xml:space="preserve">  Puntos      1 fila = 1 punto de agenda. Se enlaza a Juntas por Junta_ID.</t>
  </si>
  <si>
    <t xml:space="preserve">              Los subpuntos van con Punto = 03.1, 03.1.2, etc. Las filas cabecera (03) van con Decision = 'Cabecera'.</t>
  </si>
  <si>
    <t xml:space="preserve">              Tema_Canonico se elige de la LISTA DESPLEGABLE al momento de capturar. Este es el cambio clave:</t>
  </si>
  <si>
    <t xml:space="preserve">              hoy alguien lee el texto libre despues y decide el tema; aqui se decide una sola vez, en la fuente.</t>
  </si>
  <si>
    <t xml:space="preserve">  P_Empresas  Empresa, Ticker, ISIN, Sector, Activo. Editable trimestre a trimestre.</t>
  </si>
  <si>
    <t xml:space="preserve">  P_Temas / P_Motivos / P_Experiencia / P_Listas   Catalogos editables sin tocar codigo Python.</t>
  </si>
  <si>
    <t xml:space="preserve">HOJAS QUE GENERA PYTHON (no escribir a mano)</t>
  </si>
  <si>
    <t xml:space="preserve">  La BD historica, el dashboard, el Word y el Anexo SBS son SALIDAS. Se regeneran desde Juntas + Puntos.</t>
  </si>
  <si>
    <t xml:space="preserve">REGLAS</t>
  </si>
  <si>
    <t xml:space="preserve">  1. Nunca sobreescribir Junta_ID. Si una junta se reprograma, se corrige la Fecha, no el ID.</t>
  </si>
  <si>
    <t xml:space="preserve">  2. Trimestre y Anio se calculan por formula desde Fecha. No tipearlos.</t>
  </si>
  <si>
    <t xml:space="preserve">  3. Un punto sin Tema_Canonico no entra al dashboard. Python debe fallar ruidosamente, no en silencio.</t>
  </si>
  <si>
    <t xml:space="preserve">  4. Cero celdas combinadas, cero filas en blanco intermedias, cero encabezados repetidos.</t>
  </si>
  <si>
    <t xml:space="preserve">  5. Sectores: usar los de P_Empresas. Ojo: la BD actual dice 'Materiales y Construccion' y el PDF 2024</t>
  </si>
  <si>
    <t xml:space="preserve">     publicado dice 'Industriales y Construccion'. Definir uno solo y usarlo en ambos lados.</t>
  </si>
  <si>
    <t xml:space="preserve">Empresa_ID</t>
  </si>
  <si>
    <t xml:space="preserve">Empresa</t>
  </si>
  <si>
    <t xml:space="preserve">Ticker</t>
  </si>
  <si>
    <t xml:space="preserve">ISIN</t>
  </si>
  <si>
    <t xml:space="preserve">Sector</t>
  </si>
  <si>
    <t xml:space="preserve">Activo</t>
  </si>
  <si>
    <t xml:space="preserve">Notas</t>
  </si>
  <si>
    <t xml:space="preserve">BBVA</t>
  </si>
  <si>
    <t xml:space="preserve">BBVA Perú</t>
  </si>
  <si>
    <t xml:space="preserve">BBVAC1 PE</t>
  </si>
  <si>
    <t xml:space="preserve">PEP116001004</t>
  </si>
  <si>
    <t xml:space="preserve">Sistema Financiero</t>
  </si>
  <si>
    <t xml:space="preserve">SI</t>
  </si>
  <si>
    <t xml:space="preserve">BAP</t>
  </si>
  <si>
    <t xml:space="preserve">Credicorp LTD.</t>
  </si>
  <si>
    <t xml:space="preserve">BAP US</t>
  </si>
  <si>
    <t xml:space="preserve">BMG2519Y1084</t>
  </si>
  <si>
    <t xml:space="preserve">IFS</t>
  </si>
  <si>
    <t xml:space="preserve">Intergroup</t>
  </si>
  <si>
    <t xml:space="preserve">IFS TOTAL</t>
  </si>
  <si>
    <t xml:space="preserve">PAL2400671A3</t>
  </si>
  <si>
    <t xml:space="preserve">UNACEM</t>
  </si>
  <si>
    <t xml:space="preserve">Unión Andina de Cementos</t>
  </si>
  <si>
    <t xml:space="preserve">UNACEMC1 PE</t>
  </si>
  <si>
    <t xml:space="preserve">PEP761001002</t>
  </si>
  <si>
    <t xml:space="preserve">Materiales y Construcción</t>
  </si>
  <si>
    <t xml:space="preserve">PACASMAYO</t>
  </si>
  <si>
    <t xml:space="preserve">Cementos Pacasmayo</t>
  </si>
  <si>
    <t xml:space="preserve">CPACAS TOTAL</t>
  </si>
  <si>
    <t xml:space="preserve">PEP239501005</t>
  </si>
  <si>
    <t xml:space="preserve">AENZA</t>
  </si>
  <si>
    <t xml:space="preserve">Aenza</t>
  </si>
  <si>
    <t xml:space="preserve">AENZA TOTAL</t>
  </si>
  <si>
    <t xml:space="preserve">PEP736581005</t>
  </si>
  <si>
    <t xml:space="preserve">VOLCAN</t>
  </si>
  <si>
    <t xml:space="preserve">Volcan</t>
  </si>
  <si>
    <t xml:space="preserve">VOLCABC1 PE</t>
  </si>
  <si>
    <t xml:space="preserve">Metales y Minería</t>
  </si>
  <si>
    <t xml:space="preserve">Suele tener JOA + JGA en el mismo año</t>
  </si>
  <si>
    <t xml:space="preserve">ALICORP</t>
  </si>
  <si>
    <t xml:space="preserve">Alicorp</t>
  </si>
  <si>
    <t xml:space="preserve">ALICORC1 PE</t>
  </si>
  <si>
    <t xml:space="preserve">Consumo</t>
  </si>
  <si>
    <t xml:space="preserve">AUNA</t>
  </si>
  <si>
    <t xml:space="preserve">Auna</t>
  </si>
  <si>
    <t xml:space="preserve">AUNA US</t>
  </si>
  <si>
    <t xml:space="preserve">Salud</t>
  </si>
  <si>
    <t xml:space="preserve">Vota via Proxy Edge</t>
  </si>
  <si>
    <t xml:space="preserve">Completar con el universo de la cartera. Contrastar ISIN vigente contra 'Invesión Tematica mmyyyy.xlsx', hoja 'Valorización de Instrumentos', columna H.</t>
  </si>
  <si>
    <t xml:space="preserve">Tema_ID</t>
  </si>
  <si>
    <t xml:space="preserve">Tema_Canonico</t>
  </si>
  <si>
    <t xml:space="preserve">Cod_SBS</t>
  </si>
  <si>
    <t xml:space="preserve">T01</t>
  </si>
  <si>
    <t xml:space="preserve">Elección y Número de Directores</t>
  </si>
  <si>
    <t xml:space="preserve">T02</t>
  </si>
  <si>
    <t xml:space="preserve">Gestión Social (EEFF, Memoria)</t>
  </si>
  <si>
    <t xml:space="preserve">T03</t>
  </si>
  <si>
    <t xml:space="preserve">Designación Auditores</t>
  </si>
  <si>
    <t xml:space="preserve">T04</t>
  </si>
  <si>
    <t xml:space="preserve">Formalización Acuerdos</t>
  </si>
  <si>
    <t xml:space="preserve">T05</t>
  </si>
  <si>
    <t xml:space="preserve">ASG</t>
  </si>
  <si>
    <t xml:space="preserve">T06</t>
  </si>
  <si>
    <t xml:space="preserve">Aplicación de Utilidades (Distribución de Dividendos)</t>
  </si>
  <si>
    <t xml:space="preserve">T07</t>
  </si>
  <si>
    <t xml:space="preserve">Aplicación de Utilidades (Saldo a Resultados Acumulados)</t>
  </si>
  <si>
    <t xml:space="preserve">T08</t>
  </si>
  <si>
    <t xml:space="preserve">Aplicación de Utilidades (Incremento de Reserva Legal)</t>
  </si>
  <si>
    <t xml:space="preserve">T09</t>
  </si>
  <si>
    <t xml:space="preserve">Política de Dividendos</t>
  </si>
  <si>
    <t xml:space="preserve">T10</t>
  </si>
  <si>
    <t xml:space="preserve">Remuneración de Directores</t>
  </si>
  <si>
    <t xml:space="preserve">T11</t>
  </si>
  <si>
    <t xml:space="preserve">Modificación de Estatutos</t>
  </si>
  <si>
    <t xml:space="preserve">T12</t>
  </si>
  <si>
    <t xml:space="preserve">Cambios en Patrimonio</t>
  </si>
  <si>
    <t xml:space="preserve">T13</t>
  </si>
  <si>
    <t xml:space="preserve">Emisión de Instrumentos</t>
  </si>
  <si>
    <t xml:space="preserve">T14</t>
  </si>
  <si>
    <t xml:space="preserve">Modificación de Reglamento de Junta General de Accionistas</t>
  </si>
  <si>
    <t xml:space="preserve">T15</t>
  </si>
  <si>
    <t xml:space="preserve">Recompra de Acciones</t>
  </si>
  <si>
    <t xml:space="preserve">T16</t>
  </si>
  <si>
    <t xml:space="preserve">M&amp;A</t>
  </si>
  <si>
    <t xml:space="preserve">T17</t>
  </si>
  <si>
    <t xml:space="preserve">Otros</t>
  </si>
  <si>
    <t xml:space="preserve">Cod_SBS: mapear al código de la hoja 'Matriz de Eventos' del Oficio SBS (1001-10xx) para generar el Anexo automáticamente.</t>
  </si>
  <si>
    <t xml:space="preserve">Motivo_ID</t>
  </si>
  <si>
    <t xml:space="preserve">Motivo_Voto_Contra</t>
  </si>
  <si>
    <t xml:space="preserve">M01</t>
  </si>
  <si>
    <t xml:space="preserve">No se cuenta con directores independientes</t>
  </si>
  <si>
    <t xml:space="preserve">M02</t>
  </si>
  <si>
    <t xml:space="preserve">Directores alternos o suplentes</t>
  </si>
  <si>
    <t xml:space="preserve">M03</t>
  </si>
  <si>
    <t xml:space="preserve">Se delega la elección de la firma auditora al directorio</t>
  </si>
  <si>
    <t xml:space="preserve">M04</t>
  </si>
  <si>
    <t xml:space="preserve">La firma auditora supera 10 años de servicio</t>
  </si>
  <si>
    <t xml:space="preserve">M05</t>
  </si>
  <si>
    <t xml:space="preserve">Aceptación de renuncias futuras de directores</t>
  </si>
  <si>
    <t xml:space="preserve">M06</t>
  </si>
  <si>
    <t xml:space="preserve">Falta de información</t>
  </si>
  <si>
    <t xml:space="preserve">M07</t>
  </si>
  <si>
    <t xml:space="preserve">Exp_ID</t>
  </si>
  <si>
    <t xml:space="preserve">Especialidad</t>
  </si>
  <si>
    <t xml:space="preserve">E01</t>
  </si>
  <si>
    <t xml:space="preserve">Finanzas e Inversiones</t>
  </si>
  <si>
    <t xml:space="preserve">E02</t>
  </si>
  <si>
    <t xml:space="preserve">Industrial y Materiales</t>
  </si>
  <si>
    <t xml:space="preserve">E03</t>
  </si>
  <si>
    <t xml:space="preserve">Banca</t>
  </si>
  <si>
    <t xml:space="preserve">E04</t>
  </si>
  <si>
    <t xml:space="preserve">Minería</t>
  </si>
  <si>
    <t xml:space="preserve">E05</t>
  </si>
  <si>
    <t xml:space="preserve">Legal y Auditoría</t>
  </si>
  <si>
    <t xml:space="preserve">E06</t>
  </si>
  <si>
    <t xml:space="preserve">Planificación y Desarrollo</t>
  </si>
  <si>
    <t xml:space="preserve">E07</t>
  </si>
  <si>
    <t xml:space="preserve">Innovación y transformación digital</t>
  </si>
  <si>
    <t xml:space="preserve">E08</t>
  </si>
  <si>
    <t xml:space="preserve">Ciberseguridad</t>
  </si>
  <si>
    <t xml:space="preserve">E09</t>
  </si>
  <si>
    <t xml:space="preserve">Contabilidad</t>
  </si>
  <si>
    <t xml:space="preserve">E10</t>
  </si>
  <si>
    <t xml:space="preserve">Química</t>
  </si>
  <si>
    <t xml:space="preserve">E11</t>
  </si>
  <si>
    <t xml:space="preserve">Retail</t>
  </si>
  <si>
    <t xml:space="preserve">E12</t>
  </si>
  <si>
    <t xml:space="preserve">Negocios Internacionales</t>
  </si>
  <si>
    <t xml:space="preserve">E13</t>
  </si>
  <si>
    <t xml:space="preserve">Tipo_Junta</t>
  </si>
  <si>
    <t xml:space="preserve">Decision</t>
  </si>
  <si>
    <t xml:space="preserve">Medio</t>
  </si>
  <si>
    <t xml:space="preserve">Independencia</t>
  </si>
  <si>
    <t xml:space="preserve">Estado_Acta</t>
  </si>
  <si>
    <t xml:space="preserve">Asistencia</t>
  </si>
  <si>
    <t xml:space="preserve">JOA</t>
  </si>
  <si>
    <t xml:space="preserve">A Favor</t>
  </si>
  <si>
    <t xml:space="preserve">Virtual</t>
  </si>
  <si>
    <t xml:space="preserve">Independiente</t>
  </si>
  <si>
    <t xml:space="preserve">Pendiente</t>
  </si>
  <si>
    <t xml:space="preserve">Asistimos</t>
  </si>
  <si>
    <t xml:space="preserve">JGA</t>
  </si>
  <si>
    <t xml:space="preserve">En Contra</t>
  </si>
  <si>
    <t xml:space="preserve">Presencial</t>
  </si>
  <si>
    <t xml:space="preserve">Dependiente</t>
  </si>
  <si>
    <t xml:space="preserve">Enviada</t>
  </si>
  <si>
    <t xml:space="preserve">No asistimos</t>
  </si>
  <si>
    <t xml:space="preserve">JGO</t>
  </si>
  <si>
    <t xml:space="preserve">Abstención</t>
  </si>
  <si>
    <t xml:space="preserve">Híbrido</t>
  </si>
  <si>
    <t xml:space="preserve">No aplica</t>
  </si>
  <si>
    <t xml:space="preserve">Firmada</t>
  </si>
  <si>
    <t xml:space="preserve">Informativo</t>
  </si>
  <si>
    <t xml:space="preserve">Proxy Edge</t>
  </si>
  <si>
    <t xml:space="preserve">OK</t>
  </si>
  <si>
    <t xml:space="preserve">No Asistimos</t>
  </si>
  <si>
    <t xml:space="preserve">Cabecera</t>
  </si>
  <si>
    <t xml:space="preserve">Junta_ID</t>
  </si>
  <si>
    <t xml:space="preserve">Año</t>
  </si>
  <si>
    <t xml:space="preserve">Trimestre</t>
  </si>
  <si>
    <t xml:space="preserve">Fecha</t>
  </si>
  <si>
    <t xml:space="preserve">Hora</t>
  </si>
  <si>
    <t xml:space="preserve">Responsable</t>
  </si>
  <si>
    <t xml:space="preserve">Fuente_Doc</t>
  </si>
  <si>
    <t xml:space="preserve">Observaciones</t>
  </si>
  <si>
    <t xml:space="preserve">VOLCAN-2026-JOA-1</t>
  </si>
  <si>
    <t xml:space="preserve">2026-03-26</t>
  </si>
  <si>
    <t xml:space="preserve">10:00</t>
  </si>
  <si>
    <t xml:space="preserve">RMN</t>
  </si>
  <si>
    <t xml:space="preserve">Propuestas JGA 2026 / hoja Volcan</t>
  </si>
  <si>
    <t xml:space="preserve">Ejemplo — borrar</t>
  </si>
  <si>
    <t xml:space="preserve">VOLCAN-2026-JGA-1</t>
  </si>
  <si>
    <t xml:space="preserve">2026-06-10</t>
  </si>
  <si>
    <t xml:space="preserve">Propuestas JGA 2026 / hoja Volcan 10.06.26</t>
  </si>
  <si>
    <t xml:space="preserve">AENZA-2026-JOA-1</t>
  </si>
  <si>
    <t xml:space="preserve">2026-03-25</t>
  </si>
  <si>
    <t xml:space="preserve">15:00</t>
  </si>
  <si>
    <t xml:space="preserve">GFC</t>
  </si>
  <si>
    <t xml:space="preserve">Punto_UID</t>
  </si>
  <si>
    <t xml:space="preserve">Punto</t>
  </si>
  <si>
    <t xml:space="preserve">Texto_Agenda</t>
  </si>
  <si>
    <t xml:space="preserve">Justificacion</t>
  </si>
  <si>
    <t xml:space="preserve">Pct_A_Favor</t>
  </si>
  <si>
    <t xml:space="preserve">Firma_Auditora</t>
  </si>
  <si>
    <t xml:space="preserve">Es_Director</t>
  </si>
  <si>
    <t xml:space="preserve">Director_Nombre</t>
  </si>
  <si>
    <t xml:space="preserve">Experiencia_1</t>
  </si>
  <si>
    <t xml:space="preserve">Experiencia_2</t>
  </si>
  <si>
    <t xml:space="preserve">Comentario</t>
  </si>
  <si>
    <t xml:space="preserve">01</t>
  </si>
  <si>
    <t xml:space="preserve">Aprobación de la Memoria Anual, Reporte de Sostenibilidad y EEFF Auditados 2025.</t>
  </si>
  <si>
    <t xml:space="preserve">NO</t>
  </si>
  <si>
    <t xml:space="preserve">03</t>
  </si>
  <si>
    <t xml:space="preserve">Designar o delegar en el directorio la designación de los auditores externos.</t>
  </si>
  <si>
    <t xml:space="preserve">En línea con la Política de Votación de AFP Integra.</t>
  </si>
  <si>
    <t xml:space="preserve">BBVA-2026-JOA-1</t>
  </si>
  <si>
    <t xml:space="preserve">06.1</t>
  </si>
  <si>
    <t xml:space="preserve">Elección de directores titulares.</t>
  </si>
  <si>
    <t xml:space="preserve">Fila cabecera: no suma al conteo</t>
  </si>
  <si>
    <t xml:space="preserve">06.1.1</t>
  </si>
  <si>
    <t xml:space="preserve">Ismael Alberto Benavides Ferreyros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</si>
</sst>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@"/>
    <numFmt numFmtId="167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1E2E6E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AECB"/>
        <bgColor rgb="FF33CCCC"/>
      </patternFill>
    </fill>
    <fill>
      <patternFill patternType="solid">
        <fgColor rgb="FFFFF9CC"/>
        <bgColor rgb="FFFFFFFF"/>
      </patternFill>
    </fill>
    <fill>
      <patternFill patternType="solid">
        <fgColor rgb="FF1E2E6E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AECB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2E6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1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1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1" t="s">
        <v>13</v>
      </c>
    </row>
    <row r="19" customFormat="false" ht="15" hidden="false" customHeight="false" outlineLevel="0" collapsed="false">
      <c r="A19" s="2" t="s">
        <v>14</v>
      </c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4" min="3" style="0" width="16"/>
    <col collapsed="false" customWidth="true" hidden="false" outlineLevel="0" max="5" min="5" style="0" width="26"/>
    <col collapsed="false" customWidth="true" hidden="false" outlineLevel="0" max="6" min="6" style="0" width="9"/>
    <col collapsed="false" customWidth="true" hidden="false" outlineLevel="0" max="7" min="7" style="0" width="30"/>
  </cols>
  <sheetData>
    <row r="1" customFormat="false" ht="30" hidden="false" customHeight="true" outlineLevel="0" collapsed="false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</row>
    <row r="2" customFormat="false" ht="15" hidden="false" customHeight="false" outlineLevel="0" collapsed="false">
      <c r="A2" s="4" t="s">
        <v>27</v>
      </c>
      <c r="B2" s="5" t="s">
        <v>28</v>
      </c>
      <c r="C2" s="5" t="s">
        <v>29</v>
      </c>
      <c r="D2" s="5" t="s">
        <v>30</v>
      </c>
      <c r="E2" s="5" t="s">
        <v>31</v>
      </c>
      <c r="F2" s="5" t="s">
        <v>32</v>
      </c>
      <c r="G2" s="5"/>
    </row>
    <row r="3" customFormat="false" ht="15" hidden="false" customHeight="false" outlineLevel="0" collapsed="false">
      <c r="A3" s="4" t="s">
        <v>33</v>
      </c>
      <c r="B3" s="5" t="s">
        <v>34</v>
      </c>
      <c r="C3" s="5" t="s">
        <v>35</v>
      </c>
      <c r="D3" s="5" t="s">
        <v>36</v>
      </c>
      <c r="E3" s="5" t="s">
        <v>31</v>
      </c>
      <c r="F3" s="5" t="s">
        <v>32</v>
      </c>
      <c r="G3" s="5"/>
    </row>
    <row r="4" customFormat="false" ht="15" hidden="false" customHeight="false" outlineLevel="0" collapsed="false">
      <c r="A4" s="4" t="s">
        <v>37</v>
      </c>
      <c r="B4" s="5" t="s">
        <v>38</v>
      </c>
      <c r="C4" s="5" t="s">
        <v>39</v>
      </c>
      <c r="D4" s="5" t="s">
        <v>40</v>
      </c>
      <c r="E4" s="5" t="s">
        <v>31</v>
      </c>
      <c r="F4" s="5" t="s">
        <v>32</v>
      </c>
      <c r="G4" s="5"/>
    </row>
    <row r="5" customFormat="false" ht="15" hidden="false" customHeight="false" outlineLevel="0" collapsed="false">
      <c r="A5" s="4" t="s">
        <v>41</v>
      </c>
      <c r="B5" s="5" t="s">
        <v>42</v>
      </c>
      <c r="C5" s="5" t="s">
        <v>43</v>
      </c>
      <c r="D5" s="5" t="s">
        <v>44</v>
      </c>
      <c r="E5" s="5" t="s">
        <v>45</v>
      </c>
      <c r="F5" s="5" t="s">
        <v>32</v>
      </c>
      <c r="G5" s="5"/>
    </row>
    <row r="6" customFormat="false" ht="15" hidden="false" customHeight="false" outlineLevel="0" collapsed="false">
      <c r="A6" s="4" t="s">
        <v>46</v>
      </c>
      <c r="B6" s="5" t="s">
        <v>47</v>
      </c>
      <c r="C6" s="5" t="s">
        <v>48</v>
      </c>
      <c r="D6" s="5" t="s">
        <v>49</v>
      </c>
      <c r="E6" s="5" t="s">
        <v>45</v>
      </c>
      <c r="F6" s="5" t="s">
        <v>32</v>
      </c>
      <c r="G6" s="5"/>
    </row>
    <row r="7" customFormat="false" ht="15" hidden="false" customHeight="false" outlineLevel="0" collapsed="false">
      <c r="A7" s="4" t="s">
        <v>50</v>
      </c>
      <c r="B7" s="5" t="s">
        <v>51</v>
      </c>
      <c r="C7" s="5" t="s">
        <v>52</v>
      </c>
      <c r="D7" s="5" t="s">
        <v>53</v>
      </c>
      <c r="E7" s="5" t="s">
        <v>45</v>
      </c>
      <c r="F7" s="5" t="s">
        <v>32</v>
      </c>
      <c r="G7" s="5"/>
    </row>
    <row r="8" customFormat="false" ht="15" hidden="false" customHeight="false" outlineLevel="0" collapsed="false">
      <c r="A8" s="4" t="s">
        <v>54</v>
      </c>
      <c r="B8" s="5" t="s">
        <v>55</v>
      </c>
      <c r="C8" s="5" t="s">
        <v>56</v>
      </c>
      <c r="D8" s="5"/>
      <c r="E8" s="5" t="s">
        <v>57</v>
      </c>
      <c r="F8" s="5" t="s">
        <v>32</v>
      </c>
      <c r="G8" s="5" t="s">
        <v>58</v>
      </c>
    </row>
    <row r="9" customFormat="false" ht="15" hidden="false" customHeight="false" outlineLevel="0" collapsed="false">
      <c r="A9" s="4" t="s">
        <v>59</v>
      </c>
      <c r="B9" s="5" t="s">
        <v>60</v>
      </c>
      <c r="C9" s="5" t="s">
        <v>61</v>
      </c>
      <c r="D9" s="5"/>
      <c r="E9" s="5" t="s">
        <v>62</v>
      </c>
      <c r="F9" s="5" t="s">
        <v>32</v>
      </c>
      <c r="G9" s="5"/>
    </row>
    <row r="10" customFormat="false" ht="15" hidden="false" customHeight="false" outlineLevel="0" collapsed="false">
      <c r="A10" s="4" t="s">
        <v>63</v>
      </c>
      <c r="B10" s="5" t="s">
        <v>64</v>
      </c>
      <c r="C10" s="5" t="s">
        <v>65</v>
      </c>
      <c r="D10" s="5"/>
      <c r="E10" s="5" t="s">
        <v>66</v>
      </c>
      <c r="F10" s="5" t="s">
        <v>32</v>
      </c>
      <c r="G10" s="5" t="s">
        <v>67</v>
      </c>
    </row>
    <row r="12" customFormat="false" ht="15" hidden="false" customHeight="false" outlineLevel="0" collapsed="false">
      <c r="A12" s="6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8"/>
    <col collapsed="false" customWidth="true" hidden="false" outlineLevel="0" max="3" min="3" style="0" width="12"/>
    <col collapsed="false" customWidth="true" hidden="false" outlineLevel="0" max="4" min="4" style="0" width="9"/>
  </cols>
  <sheetData>
    <row r="1" customFormat="false" ht="30" hidden="false" customHeight="true" outlineLevel="0" collapsed="false">
      <c r="A1" s="3" t="s">
        <v>69</v>
      </c>
      <c r="B1" s="3" t="s">
        <v>70</v>
      </c>
      <c r="C1" s="3" t="s">
        <v>71</v>
      </c>
      <c r="D1" s="3" t="s">
        <v>25</v>
      </c>
    </row>
    <row r="2" customFormat="false" ht="15" hidden="false" customHeight="false" outlineLevel="0" collapsed="false">
      <c r="A2" s="4" t="s">
        <v>72</v>
      </c>
      <c r="B2" s="5" t="s">
        <v>73</v>
      </c>
      <c r="C2" s="5"/>
      <c r="D2" s="5" t="s">
        <v>32</v>
      </c>
    </row>
    <row r="3" customFormat="false" ht="15" hidden="false" customHeight="false" outlineLevel="0" collapsed="false">
      <c r="A3" s="4" t="s">
        <v>74</v>
      </c>
      <c r="B3" s="5" t="s">
        <v>75</v>
      </c>
      <c r="C3" s="5"/>
      <c r="D3" s="5" t="s">
        <v>32</v>
      </c>
    </row>
    <row r="4" customFormat="false" ht="15" hidden="false" customHeight="false" outlineLevel="0" collapsed="false">
      <c r="A4" s="4" t="s">
        <v>76</v>
      </c>
      <c r="B4" s="5" t="s">
        <v>77</v>
      </c>
      <c r="C4" s="5"/>
      <c r="D4" s="5" t="s">
        <v>32</v>
      </c>
    </row>
    <row r="5" customFormat="false" ht="15" hidden="false" customHeight="false" outlineLevel="0" collapsed="false">
      <c r="A5" s="4" t="s">
        <v>78</v>
      </c>
      <c r="B5" s="5" t="s">
        <v>79</v>
      </c>
      <c r="C5" s="5"/>
      <c r="D5" s="5" t="s">
        <v>32</v>
      </c>
    </row>
    <row r="6" customFormat="false" ht="15" hidden="false" customHeight="false" outlineLevel="0" collapsed="false">
      <c r="A6" s="4" t="s">
        <v>80</v>
      </c>
      <c r="B6" s="5" t="s">
        <v>81</v>
      </c>
      <c r="C6" s="5"/>
      <c r="D6" s="5" t="s">
        <v>32</v>
      </c>
    </row>
    <row r="7" customFormat="false" ht="15" hidden="false" customHeight="false" outlineLevel="0" collapsed="false">
      <c r="A7" s="4" t="s">
        <v>82</v>
      </c>
      <c r="B7" s="5" t="s">
        <v>83</v>
      </c>
      <c r="C7" s="5"/>
      <c r="D7" s="5" t="s">
        <v>32</v>
      </c>
    </row>
    <row r="8" customFormat="false" ht="15" hidden="false" customHeight="false" outlineLevel="0" collapsed="false">
      <c r="A8" s="4" t="s">
        <v>84</v>
      </c>
      <c r="B8" s="5" t="s">
        <v>85</v>
      </c>
      <c r="C8" s="5"/>
      <c r="D8" s="5" t="s">
        <v>32</v>
      </c>
    </row>
    <row r="9" customFormat="false" ht="15" hidden="false" customHeight="false" outlineLevel="0" collapsed="false">
      <c r="A9" s="4" t="s">
        <v>86</v>
      </c>
      <c r="B9" s="5" t="s">
        <v>87</v>
      </c>
      <c r="C9" s="5"/>
      <c r="D9" s="5" t="s">
        <v>32</v>
      </c>
    </row>
    <row r="10" customFormat="false" ht="15" hidden="false" customHeight="false" outlineLevel="0" collapsed="false">
      <c r="A10" s="4" t="s">
        <v>88</v>
      </c>
      <c r="B10" s="5" t="s">
        <v>89</v>
      </c>
      <c r="C10" s="5"/>
      <c r="D10" s="5" t="s">
        <v>32</v>
      </c>
    </row>
    <row r="11" customFormat="false" ht="15" hidden="false" customHeight="false" outlineLevel="0" collapsed="false">
      <c r="A11" s="4" t="s">
        <v>90</v>
      </c>
      <c r="B11" s="5" t="s">
        <v>91</v>
      </c>
      <c r="C11" s="5"/>
      <c r="D11" s="5" t="s">
        <v>32</v>
      </c>
    </row>
    <row r="12" customFormat="false" ht="15" hidden="false" customHeight="false" outlineLevel="0" collapsed="false">
      <c r="A12" s="4" t="s">
        <v>92</v>
      </c>
      <c r="B12" s="5" t="s">
        <v>93</v>
      </c>
      <c r="C12" s="5"/>
      <c r="D12" s="5" t="s">
        <v>32</v>
      </c>
    </row>
    <row r="13" customFormat="false" ht="15" hidden="false" customHeight="false" outlineLevel="0" collapsed="false">
      <c r="A13" s="4" t="s">
        <v>94</v>
      </c>
      <c r="B13" s="5" t="s">
        <v>95</v>
      </c>
      <c r="C13" s="5"/>
      <c r="D13" s="5" t="s">
        <v>32</v>
      </c>
    </row>
    <row r="14" customFormat="false" ht="15" hidden="false" customHeight="false" outlineLevel="0" collapsed="false">
      <c r="A14" s="4" t="s">
        <v>96</v>
      </c>
      <c r="B14" s="5" t="s">
        <v>97</v>
      </c>
      <c r="C14" s="5"/>
      <c r="D14" s="5" t="s">
        <v>32</v>
      </c>
    </row>
    <row r="15" customFormat="false" ht="15" hidden="false" customHeight="false" outlineLevel="0" collapsed="false">
      <c r="A15" s="4" t="s">
        <v>98</v>
      </c>
      <c r="B15" s="5" t="s">
        <v>99</v>
      </c>
      <c r="C15" s="5"/>
      <c r="D15" s="5" t="s">
        <v>32</v>
      </c>
    </row>
    <row r="16" customFormat="false" ht="15" hidden="false" customHeight="false" outlineLevel="0" collapsed="false">
      <c r="A16" s="4" t="s">
        <v>100</v>
      </c>
      <c r="B16" s="5" t="s">
        <v>101</v>
      </c>
      <c r="C16" s="5"/>
      <c r="D16" s="5" t="s">
        <v>32</v>
      </c>
    </row>
    <row r="17" customFormat="false" ht="15" hidden="false" customHeight="false" outlineLevel="0" collapsed="false">
      <c r="A17" s="4" t="s">
        <v>102</v>
      </c>
      <c r="B17" s="5" t="s">
        <v>103</v>
      </c>
      <c r="C17" s="5"/>
      <c r="D17" s="5" t="s">
        <v>32</v>
      </c>
    </row>
    <row r="18" customFormat="false" ht="15" hidden="false" customHeight="false" outlineLevel="0" collapsed="false">
      <c r="A18" s="4" t="s">
        <v>104</v>
      </c>
      <c r="B18" s="5" t="s">
        <v>105</v>
      </c>
      <c r="C18" s="5"/>
      <c r="D18" s="5" t="s">
        <v>32</v>
      </c>
    </row>
    <row r="20" customFormat="false" ht="15" hidden="false" customHeight="false" outlineLevel="0" collapsed="false">
      <c r="A20" s="6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9"/>
  </cols>
  <sheetData>
    <row r="1" customFormat="false" ht="30" hidden="false" customHeight="true" outlineLevel="0" collapsed="false">
      <c r="A1" s="3" t="s">
        <v>107</v>
      </c>
      <c r="B1" s="3" t="s">
        <v>108</v>
      </c>
      <c r="C1" s="3" t="s">
        <v>25</v>
      </c>
    </row>
    <row r="2" customFormat="false" ht="15" hidden="false" customHeight="false" outlineLevel="0" collapsed="false">
      <c r="A2" s="4" t="s">
        <v>109</v>
      </c>
      <c r="B2" s="5" t="s">
        <v>110</v>
      </c>
      <c r="C2" s="5" t="s">
        <v>32</v>
      </c>
    </row>
    <row r="3" customFormat="false" ht="15" hidden="false" customHeight="false" outlineLevel="0" collapsed="false">
      <c r="A3" s="4" t="s">
        <v>111</v>
      </c>
      <c r="B3" s="5" t="s">
        <v>112</v>
      </c>
      <c r="C3" s="5" t="s">
        <v>32</v>
      </c>
    </row>
    <row r="4" customFormat="false" ht="15" hidden="false" customHeight="false" outlineLevel="0" collapsed="false">
      <c r="A4" s="4" t="s">
        <v>113</v>
      </c>
      <c r="B4" s="5" t="s">
        <v>114</v>
      </c>
      <c r="C4" s="5" t="s">
        <v>32</v>
      </c>
    </row>
    <row r="5" customFormat="false" ht="15" hidden="false" customHeight="false" outlineLevel="0" collapsed="false">
      <c r="A5" s="4" t="s">
        <v>115</v>
      </c>
      <c r="B5" s="5" t="s">
        <v>116</v>
      </c>
      <c r="C5" s="5" t="s">
        <v>32</v>
      </c>
    </row>
    <row r="6" customFormat="false" ht="15" hidden="false" customHeight="false" outlineLevel="0" collapsed="false">
      <c r="A6" s="4" t="s">
        <v>117</v>
      </c>
      <c r="B6" s="5" t="s">
        <v>118</v>
      </c>
      <c r="C6" s="5" t="s">
        <v>32</v>
      </c>
    </row>
    <row r="7" customFormat="false" ht="15" hidden="false" customHeight="false" outlineLevel="0" collapsed="false">
      <c r="A7" s="4" t="s">
        <v>119</v>
      </c>
      <c r="B7" s="5" t="s">
        <v>120</v>
      </c>
      <c r="C7" s="5" t="s">
        <v>32</v>
      </c>
    </row>
    <row r="8" customFormat="false" ht="15" hidden="false" customHeight="false" outlineLevel="0" collapsed="false">
      <c r="A8" s="4" t="s">
        <v>121</v>
      </c>
      <c r="B8" s="5" t="s">
        <v>105</v>
      </c>
      <c r="C8" s="5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9"/>
  </cols>
  <sheetData>
    <row r="1" customFormat="false" ht="30" hidden="false" customHeight="true" outlineLevel="0" collapsed="false">
      <c r="A1" s="3" t="s">
        <v>122</v>
      </c>
      <c r="B1" s="3" t="s">
        <v>123</v>
      </c>
      <c r="C1" s="3" t="s">
        <v>25</v>
      </c>
    </row>
    <row r="2" customFormat="false" ht="15" hidden="false" customHeight="false" outlineLevel="0" collapsed="false">
      <c r="A2" s="4" t="s">
        <v>124</v>
      </c>
      <c r="B2" s="5" t="s">
        <v>125</v>
      </c>
      <c r="C2" s="5" t="s">
        <v>32</v>
      </c>
    </row>
    <row r="3" customFormat="false" ht="15" hidden="false" customHeight="false" outlineLevel="0" collapsed="false">
      <c r="A3" s="4" t="s">
        <v>126</v>
      </c>
      <c r="B3" s="5" t="s">
        <v>127</v>
      </c>
      <c r="C3" s="5" t="s">
        <v>32</v>
      </c>
    </row>
    <row r="4" customFormat="false" ht="15" hidden="false" customHeight="false" outlineLevel="0" collapsed="false">
      <c r="A4" s="4" t="s">
        <v>128</v>
      </c>
      <c r="B4" s="5" t="s">
        <v>129</v>
      </c>
      <c r="C4" s="5" t="s">
        <v>32</v>
      </c>
    </row>
    <row r="5" customFormat="false" ht="15" hidden="false" customHeight="false" outlineLevel="0" collapsed="false">
      <c r="A5" s="4" t="s">
        <v>130</v>
      </c>
      <c r="B5" s="5" t="s">
        <v>131</v>
      </c>
      <c r="C5" s="5" t="s">
        <v>32</v>
      </c>
    </row>
    <row r="6" customFormat="false" ht="15" hidden="false" customHeight="false" outlineLevel="0" collapsed="false">
      <c r="A6" s="4" t="s">
        <v>132</v>
      </c>
      <c r="B6" s="5" t="s">
        <v>133</v>
      </c>
      <c r="C6" s="5" t="s">
        <v>32</v>
      </c>
    </row>
    <row r="7" customFormat="false" ht="15" hidden="false" customHeight="false" outlineLevel="0" collapsed="false">
      <c r="A7" s="4" t="s">
        <v>134</v>
      </c>
      <c r="B7" s="5" t="s">
        <v>135</v>
      </c>
      <c r="C7" s="5" t="s">
        <v>32</v>
      </c>
    </row>
    <row r="8" customFormat="false" ht="15" hidden="false" customHeight="false" outlineLevel="0" collapsed="false">
      <c r="A8" s="4" t="s">
        <v>136</v>
      </c>
      <c r="B8" s="5" t="s">
        <v>137</v>
      </c>
      <c r="C8" s="5" t="s">
        <v>32</v>
      </c>
    </row>
    <row r="9" customFormat="false" ht="15" hidden="false" customHeight="false" outlineLevel="0" collapsed="false">
      <c r="A9" s="4" t="s">
        <v>138</v>
      </c>
      <c r="B9" s="5" t="s">
        <v>139</v>
      </c>
      <c r="C9" s="5" t="s">
        <v>32</v>
      </c>
    </row>
    <row r="10" customFormat="false" ht="15" hidden="false" customHeight="false" outlineLevel="0" collapsed="false">
      <c r="A10" s="4" t="s">
        <v>140</v>
      </c>
      <c r="B10" s="5" t="s">
        <v>141</v>
      </c>
      <c r="C10" s="5" t="s">
        <v>32</v>
      </c>
    </row>
    <row r="11" customFormat="false" ht="15" hidden="false" customHeight="false" outlineLevel="0" collapsed="false">
      <c r="A11" s="4" t="s">
        <v>142</v>
      </c>
      <c r="B11" s="5" t="s">
        <v>143</v>
      </c>
      <c r="C11" s="5" t="s">
        <v>32</v>
      </c>
    </row>
    <row r="12" customFormat="false" ht="15" hidden="false" customHeight="false" outlineLevel="0" collapsed="false">
      <c r="A12" s="4" t="s">
        <v>144</v>
      </c>
      <c r="B12" s="5" t="s">
        <v>145</v>
      </c>
      <c r="C12" s="5" t="s">
        <v>32</v>
      </c>
    </row>
    <row r="13" customFormat="false" ht="15" hidden="false" customHeight="false" outlineLevel="0" collapsed="false">
      <c r="A13" s="4" t="s">
        <v>146</v>
      </c>
      <c r="B13" s="5" t="s">
        <v>147</v>
      </c>
      <c r="C13" s="5" t="s">
        <v>32</v>
      </c>
    </row>
    <row r="14" customFormat="false" ht="15" hidden="false" customHeight="false" outlineLevel="0" collapsed="false">
      <c r="A14" s="4" t="s">
        <v>148</v>
      </c>
      <c r="B14" s="5" t="s">
        <v>105</v>
      </c>
      <c r="C14" s="5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4"/>
    <col collapsed="false" customWidth="true" hidden="false" outlineLevel="0" max="5" min="4" style="0" width="16"/>
    <col collapsed="false" customWidth="true" hidden="false" outlineLevel="0" max="6" min="6" style="0" width="14"/>
  </cols>
  <sheetData>
    <row r="1" customFormat="false" ht="30" hidden="false" customHeight="true" outlineLevel="0" collapsed="false">
      <c r="A1" s="3" t="s">
        <v>149</v>
      </c>
      <c r="B1" s="3" t="s">
        <v>150</v>
      </c>
      <c r="C1" s="3" t="s">
        <v>151</v>
      </c>
      <c r="D1" s="3" t="s">
        <v>152</v>
      </c>
      <c r="E1" s="3" t="s">
        <v>153</v>
      </c>
      <c r="F1" s="3" t="s">
        <v>154</v>
      </c>
    </row>
    <row r="2" customFormat="false" ht="15" hidden="false" customHeight="false" outlineLevel="0" collapsed="false">
      <c r="A2" s="5" t="s">
        <v>155</v>
      </c>
      <c r="B2" s="5" t="s">
        <v>156</v>
      </c>
      <c r="C2" s="5" t="s">
        <v>157</v>
      </c>
      <c r="D2" s="5" t="s">
        <v>158</v>
      </c>
      <c r="E2" s="5" t="s">
        <v>159</v>
      </c>
      <c r="F2" s="5" t="s">
        <v>160</v>
      </c>
    </row>
    <row r="3" customFormat="false" ht="15" hidden="false" customHeight="false" outlineLevel="0" collapsed="false">
      <c r="A3" s="5" t="s">
        <v>161</v>
      </c>
      <c r="B3" s="5" t="s">
        <v>162</v>
      </c>
      <c r="C3" s="5" t="s">
        <v>163</v>
      </c>
      <c r="D3" s="5" t="s">
        <v>164</v>
      </c>
      <c r="E3" s="5" t="s">
        <v>165</v>
      </c>
      <c r="F3" s="5" t="s">
        <v>166</v>
      </c>
    </row>
    <row r="4" customFormat="false" ht="15" hidden="false" customHeight="false" outlineLevel="0" collapsed="false">
      <c r="A4" s="5" t="s">
        <v>167</v>
      </c>
      <c r="B4" s="5" t="s">
        <v>168</v>
      </c>
      <c r="C4" s="5" t="s">
        <v>169</v>
      </c>
      <c r="D4" s="5" t="s">
        <v>170</v>
      </c>
      <c r="E4" s="5" t="s">
        <v>171</v>
      </c>
    </row>
    <row r="5" customFormat="false" ht="15" hidden="false" customHeight="false" outlineLevel="0" collapsed="false">
      <c r="A5" s="5" t="s">
        <v>105</v>
      </c>
      <c r="B5" s="5" t="s">
        <v>172</v>
      </c>
      <c r="C5" s="5" t="s">
        <v>173</v>
      </c>
      <c r="E5" s="5" t="s">
        <v>174</v>
      </c>
    </row>
    <row r="6" customFormat="false" ht="15" hidden="false" customHeight="false" outlineLevel="0" collapsed="false">
      <c r="B6" s="5" t="s">
        <v>175</v>
      </c>
    </row>
    <row r="7" customFormat="false" ht="15" hidden="false" customHeight="false" outlineLevel="0" collapsed="false">
      <c r="B7" s="5" t="s">
        <v>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3"/>
    <col collapsed="false" customWidth="true" hidden="false" outlineLevel="0" max="3" min="3" style="0" width="26"/>
    <col collapsed="false" customWidth="true" hidden="false" outlineLevel="0" max="4" min="4" style="0" width="8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9"/>
    <col collapsed="false" customWidth="true" hidden="false" outlineLevel="0" max="9" min="9" style="0" width="14"/>
    <col collapsed="false" customWidth="true" hidden="false" outlineLevel="0" max="12" min="10" style="0" width="13"/>
    <col collapsed="false" customWidth="true" hidden="false" outlineLevel="0" max="14" min="13" style="0" width="30"/>
  </cols>
  <sheetData>
    <row r="1" customFormat="false" ht="30" hidden="false" customHeight="true" outlineLevel="0" collapsed="false">
      <c r="A1" s="7" t="s">
        <v>177</v>
      </c>
      <c r="B1" s="7" t="s">
        <v>20</v>
      </c>
      <c r="C1" s="7" t="s">
        <v>21</v>
      </c>
      <c r="D1" s="7" t="s">
        <v>178</v>
      </c>
      <c r="E1" s="7" t="s">
        <v>179</v>
      </c>
      <c r="F1" s="7" t="s">
        <v>149</v>
      </c>
      <c r="G1" s="7" t="s">
        <v>180</v>
      </c>
      <c r="H1" s="7" t="s">
        <v>181</v>
      </c>
      <c r="I1" s="7" t="s">
        <v>151</v>
      </c>
      <c r="J1" s="7" t="s">
        <v>182</v>
      </c>
      <c r="K1" s="7" t="s">
        <v>153</v>
      </c>
      <c r="L1" s="7" t="s">
        <v>154</v>
      </c>
      <c r="M1" s="7" t="s">
        <v>183</v>
      </c>
      <c r="N1" s="7" t="s">
        <v>184</v>
      </c>
    </row>
    <row r="2" customFormat="false" ht="15" hidden="false" customHeight="false" outlineLevel="0" collapsed="false">
      <c r="A2" s="5" t="s">
        <v>185</v>
      </c>
      <c r="B2" s="5" t="s">
        <v>54</v>
      </c>
      <c r="C2" s="4" t="str">
        <f aca="false">IFERROR(INDEX(P_Empresas!$B$2:$B$500,MATCH($B2,P_Empresas!$A$2:$A$500,0)),"REVISAR")</f>
        <v>Volcan</v>
      </c>
      <c r="D2" s="4" t="n">
        <f aca="false">IF($G2="","",YEAR($G2))</f>
        <v>2026</v>
      </c>
      <c r="E2" s="4" t="str">
        <f aca="false">IF($G2="","","T"&amp;ROUNDUP(MONTH($G2)/3,0))</f>
        <v>T1</v>
      </c>
      <c r="F2" s="5" t="s">
        <v>155</v>
      </c>
      <c r="G2" s="8" t="s">
        <v>186</v>
      </c>
      <c r="H2" s="5" t="s">
        <v>187</v>
      </c>
      <c r="I2" s="5" t="s">
        <v>157</v>
      </c>
      <c r="J2" s="5" t="s">
        <v>188</v>
      </c>
      <c r="K2" s="5" t="s">
        <v>159</v>
      </c>
      <c r="L2" s="5" t="s">
        <v>160</v>
      </c>
      <c r="M2" s="5" t="s">
        <v>189</v>
      </c>
      <c r="N2" s="5" t="s">
        <v>190</v>
      </c>
    </row>
    <row r="3" customFormat="false" ht="15" hidden="false" customHeight="false" outlineLevel="0" collapsed="false">
      <c r="A3" s="5" t="s">
        <v>191</v>
      </c>
      <c r="B3" s="5" t="s">
        <v>54</v>
      </c>
      <c r="C3" s="4" t="str">
        <f aca="false">IFERROR(INDEX(P_Empresas!$B$2:$B$500,MATCH($B3,P_Empresas!$A$2:$A$500,0)),"REVISAR")</f>
        <v>Volcan</v>
      </c>
      <c r="D3" s="4" t="n">
        <f aca="false">IF($G3="","",YEAR($G3))</f>
        <v>2026</v>
      </c>
      <c r="E3" s="4" t="str">
        <f aca="false">IF($G3="","","T"&amp;ROUNDUP(MONTH($G3)/3,0))</f>
        <v>T2</v>
      </c>
      <c r="F3" s="5" t="s">
        <v>161</v>
      </c>
      <c r="G3" s="8" t="s">
        <v>192</v>
      </c>
      <c r="H3" s="5" t="s">
        <v>187</v>
      </c>
      <c r="I3" s="5" t="s">
        <v>157</v>
      </c>
      <c r="J3" s="5" t="s">
        <v>188</v>
      </c>
      <c r="K3" s="5" t="s">
        <v>159</v>
      </c>
      <c r="L3" s="5" t="s">
        <v>160</v>
      </c>
      <c r="M3" s="5" t="s">
        <v>193</v>
      </c>
      <c r="N3" s="5" t="s">
        <v>190</v>
      </c>
    </row>
    <row r="4" customFormat="false" ht="15" hidden="false" customHeight="false" outlineLevel="0" collapsed="false">
      <c r="A4" s="5" t="s">
        <v>194</v>
      </c>
      <c r="B4" s="5" t="s">
        <v>50</v>
      </c>
      <c r="C4" s="4" t="str">
        <f aca="false">IFERROR(INDEX(P_Empresas!$B$2:$B$500,MATCH($B4,P_Empresas!$A$2:$A$500,0)),"REVISAR")</f>
        <v>Aenza</v>
      </c>
      <c r="D4" s="4" t="n">
        <f aca="false">IF($G4="","",YEAR($G4))</f>
        <v>2026</v>
      </c>
      <c r="E4" s="4" t="str">
        <f aca="false">IF($G4="","","T"&amp;ROUNDUP(MONTH($G4)/3,0))</f>
        <v>T1</v>
      </c>
      <c r="F4" s="5" t="s">
        <v>155</v>
      </c>
      <c r="G4" s="8" t="s">
        <v>195</v>
      </c>
      <c r="H4" s="5" t="s">
        <v>196</v>
      </c>
      <c r="I4" s="5" t="s">
        <v>157</v>
      </c>
      <c r="J4" s="5" t="s">
        <v>197</v>
      </c>
      <c r="K4" s="5" t="s">
        <v>159</v>
      </c>
      <c r="L4" s="5" t="s">
        <v>160</v>
      </c>
      <c r="M4" s="5"/>
      <c r="N4" s="5" t="s">
        <v>190</v>
      </c>
    </row>
  </sheetData>
  <dataValidations count="5">
    <dataValidation allowBlank="true" errorStyle="stop" operator="between" showDropDown="false" showErrorMessage="false" showInputMessage="false" sqref="B2:B1004" type="list">
      <formula1>P_Empresas!$A$2:$A$500</formula1>
      <formula2>0</formula2>
    </dataValidation>
    <dataValidation allowBlank="true" errorStyle="stop" operator="between" showDropDown="false" showErrorMessage="false" showInputMessage="false" sqref="F2:F1004" type="list">
      <formula1>P_Listas!$A$2:$A$10</formula1>
      <formula2>0</formula2>
    </dataValidation>
    <dataValidation allowBlank="true" errorStyle="stop" operator="between" showDropDown="false" showErrorMessage="false" showInputMessage="false" sqref="I2:I1004" type="list">
      <formula1>P_Listas!$C$2:$C$10</formula1>
      <formula2>0</formula2>
    </dataValidation>
    <dataValidation allowBlank="true" errorStyle="stop" operator="between" showDropDown="false" showErrorMessage="false" showInputMessage="false" sqref="K2:K1004" type="list">
      <formula1>P_Listas!$E$2:$E$10</formula1>
      <formula2>0</formula2>
    </dataValidation>
    <dataValidation allowBlank="true" errorStyle="stop" operator="between" showDropDown="false" showErrorMessage="false" showInputMessage="false" sqref="L2:L1004" type="list">
      <formula1>P_Listas!$F$2:$F$10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9"/>
    <col collapsed="false" customWidth="true" hidden="false" outlineLevel="0" max="4" min="4" style="0" width="58"/>
    <col collapsed="false" customWidth="true" hidden="false" outlineLevel="0" max="5" min="5" style="0" width="40"/>
    <col collapsed="false" customWidth="true" hidden="false" outlineLevel="0" max="6" min="6" style="0" width="14"/>
    <col collapsed="false" customWidth="true" hidden="false" outlineLevel="0" max="7" min="7" style="0" width="40"/>
    <col collapsed="false" customWidth="true" hidden="false" outlineLevel="0" max="8" min="8" style="0" width="44"/>
    <col collapsed="false" customWidth="true" hidden="false" outlineLevel="0" max="9" min="9" style="0" width="11"/>
    <col collapsed="false" customWidth="true" hidden="false" outlineLevel="0" max="10" min="10" style="0" width="14"/>
    <col collapsed="false" customWidth="true" hidden="false" outlineLevel="0" max="11" min="11" style="0" width="11"/>
    <col collapsed="false" customWidth="true" hidden="false" outlineLevel="0" max="12" min="12" style="0" width="26"/>
    <col collapsed="false" customWidth="true" hidden="false" outlineLevel="0" max="13" min="13" style="0" width="15"/>
    <col collapsed="false" customWidth="true" hidden="false" outlineLevel="0" max="15" min="14" style="0" width="24"/>
    <col collapsed="false" customWidth="true" hidden="false" outlineLevel="0" max="16" min="16" style="0" width="40"/>
  </cols>
  <sheetData>
    <row r="1" customFormat="false" ht="30" hidden="false" customHeight="true" outlineLevel="0" collapsed="false">
      <c r="A1" s="7" t="s">
        <v>198</v>
      </c>
      <c r="B1" s="7" t="s">
        <v>177</v>
      </c>
      <c r="C1" s="7" t="s">
        <v>199</v>
      </c>
      <c r="D1" s="7" t="s">
        <v>200</v>
      </c>
      <c r="E1" s="7" t="s">
        <v>70</v>
      </c>
      <c r="F1" s="7" t="s">
        <v>150</v>
      </c>
      <c r="G1" s="7" t="s">
        <v>108</v>
      </c>
      <c r="H1" s="7" t="s">
        <v>201</v>
      </c>
      <c r="I1" s="7" t="s">
        <v>202</v>
      </c>
      <c r="J1" s="7" t="s">
        <v>203</v>
      </c>
      <c r="K1" s="7" t="s">
        <v>204</v>
      </c>
      <c r="L1" s="7" t="s">
        <v>205</v>
      </c>
      <c r="M1" s="7" t="s">
        <v>152</v>
      </c>
      <c r="N1" s="7" t="s">
        <v>206</v>
      </c>
      <c r="O1" s="7" t="s">
        <v>207</v>
      </c>
      <c r="P1" s="7" t="s">
        <v>208</v>
      </c>
    </row>
    <row r="2" customFormat="false" ht="15" hidden="false" customHeight="false" outlineLevel="0" collapsed="false">
      <c r="A2" s="4" t="str">
        <f aca="false">IF($B2="","",$B2&amp;"|"&amp;$C2)</f>
        <v>VOLCAN-2026-JOA-1|01</v>
      </c>
      <c r="B2" s="5" t="s">
        <v>185</v>
      </c>
      <c r="C2" s="9" t="s">
        <v>209</v>
      </c>
      <c r="D2" s="5" t="s">
        <v>210</v>
      </c>
      <c r="E2" s="5" t="s">
        <v>75</v>
      </c>
      <c r="F2" s="5" t="s">
        <v>156</v>
      </c>
      <c r="G2" s="5"/>
      <c r="H2" s="5"/>
      <c r="I2" s="10" t="n">
        <v>1</v>
      </c>
      <c r="J2" s="5"/>
      <c r="K2" s="5" t="s">
        <v>211</v>
      </c>
      <c r="L2" s="5"/>
      <c r="M2" s="5" t="s">
        <v>170</v>
      </c>
      <c r="N2" s="5"/>
      <c r="O2" s="5"/>
      <c r="P2" s="5" t="s">
        <v>190</v>
      </c>
    </row>
    <row r="3" customFormat="false" ht="15" hidden="false" customHeight="false" outlineLevel="0" collapsed="false">
      <c r="A3" s="4" t="str">
        <f aca="false">IF($B3="","",$B3&amp;"|"&amp;$C3)</f>
        <v>VOLCAN-2026-JOA-1|03</v>
      </c>
      <c r="B3" s="5" t="s">
        <v>185</v>
      </c>
      <c r="C3" s="9" t="s">
        <v>212</v>
      </c>
      <c r="D3" s="5" t="s">
        <v>213</v>
      </c>
      <c r="E3" s="5" t="s">
        <v>77</v>
      </c>
      <c r="F3" s="5" t="s">
        <v>162</v>
      </c>
      <c r="G3" s="5" t="s">
        <v>114</v>
      </c>
      <c r="H3" s="5" t="s">
        <v>214</v>
      </c>
      <c r="I3" s="10"/>
      <c r="J3" s="5"/>
      <c r="K3" s="5" t="s">
        <v>211</v>
      </c>
      <c r="L3" s="5"/>
      <c r="M3" s="5" t="s">
        <v>170</v>
      </c>
      <c r="N3" s="5"/>
      <c r="O3" s="5"/>
      <c r="P3" s="5" t="s">
        <v>190</v>
      </c>
    </row>
    <row r="4" customFormat="false" ht="15" hidden="false" customHeight="false" outlineLevel="0" collapsed="false">
      <c r="A4" s="4" t="str">
        <f aca="false">IF($B4="","",$B4&amp;"|"&amp;$C4)</f>
        <v>BBVA-2026-JOA-1|06.1</v>
      </c>
      <c r="B4" s="5" t="s">
        <v>215</v>
      </c>
      <c r="C4" s="9" t="s">
        <v>216</v>
      </c>
      <c r="D4" s="5" t="s">
        <v>217</v>
      </c>
      <c r="E4" s="5" t="s">
        <v>73</v>
      </c>
      <c r="F4" s="5" t="s">
        <v>176</v>
      </c>
      <c r="G4" s="5"/>
      <c r="H4" s="5"/>
      <c r="I4" s="10"/>
      <c r="J4" s="5"/>
      <c r="K4" s="5" t="s">
        <v>211</v>
      </c>
      <c r="L4" s="5"/>
      <c r="M4" s="5" t="s">
        <v>170</v>
      </c>
      <c r="N4" s="5"/>
      <c r="O4" s="5"/>
      <c r="P4" s="5" t="s">
        <v>218</v>
      </c>
    </row>
    <row r="5" customFormat="false" ht="15" hidden="false" customHeight="false" outlineLevel="0" collapsed="false">
      <c r="A5" s="4" t="str">
        <f aca="false">IF($B5="","",$B5&amp;"|"&amp;$C5)</f>
        <v>BBVA-2026-JOA-1|06.1.1</v>
      </c>
      <c r="B5" s="5" t="s">
        <v>215</v>
      </c>
      <c r="C5" s="9" t="s">
        <v>219</v>
      </c>
      <c r="D5" s="5" t="s">
        <v>220</v>
      </c>
      <c r="E5" s="5" t="s">
        <v>73</v>
      </c>
      <c r="F5" s="5" t="s">
        <v>156</v>
      </c>
      <c r="G5" s="5"/>
      <c r="H5" s="5"/>
      <c r="I5" s="10" t="n">
        <v>1</v>
      </c>
      <c r="J5" s="5"/>
      <c r="K5" s="5" t="s">
        <v>32</v>
      </c>
      <c r="L5" s="5" t="s">
        <v>220</v>
      </c>
      <c r="M5" s="5" t="s">
        <v>158</v>
      </c>
      <c r="N5" s="5" t="s">
        <v>125</v>
      </c>
      <c r="O5" s="5" t="s">
        <v>129</v>
      </c>
      <c r="P5" s="5" t="s">
        <v>190</v>
      </c>
    </row>
  </sheetData>
  <dataValidations count="7">
    <dataValidation allowBlank="true" errorStyle="stop" operator="between" showDropDown="false" showErrorMessage="false" showInputMessage="false" sqref="B2:B1005" type="list">
      <formula1>Juntas!$A$2:$A$2000</formula1>
      <formula2>0</formula2>
    </dataValidation>
    <dataValidation allowBlank="true" errorStyle="stop" operator="between" showDropDown="false" showErrorMessage="false" showInputMessage="false" sqref="E2:E1005" type="list">
      <formula1>P_Temas!$B$2:$B$100</formula1>
      <formula2>0</formula2>
    </dataValidation>
    <dataValidation allowBlank="true" errorStyle="stop" operator="between" showDropDown="false" showErrorMessage="false" showInputMessage="false" sqref="F2:F1005" type="list">
      <formula1>P_Listas!$B$2:$B$10</formula1>
      <formula2>0</formula2>
    </dataValidation>
    <dataValidation allowBlank="true" errorStyle="stop" operator="between" showDropDown="false" showErrorMessage="false" showInputMessage="false" sqref="G2:G1005" type="list">
      <formula1>P_Motivos!$B$2:$B$100</formula1>
      <formula2>0</formula2>
    </dataValidation>
    <dataValidation allowBlank="true" errorStyle="stop" operator="between" showDropDown="false" showErrorMessage="false" showInputMessage="false" sqref="M2:M1005" type="list">
      <formula1>P_Listas!$D$2:$D$10</formula1>
      <formula2>0</formula2>
    </dataValidation>
    <dataValidation allowBlank="true" errorStyle="stop" operator="between" showDropDown="false" showErrorMessage="false" showInputMessage="false" sqref="N2:O1005" type="list">
      <formula1>P_Experiencia!$B$2:$B$100</formula1>
      <formula2>0</formula2>
    </dataValidation>
    <dataValidation allowBlank="true" errorStyle="stop" operator="between" showDropDown="false" showErrorMessage="false" showInputMessage="false" sqref="K2:K1005" type="list">
      <formula1>"SI,NO"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2026-07-20T05:53:51Z</dcterms:created>
  <dc:creator>openpyxl</dc:creator>
  <dc:description/>
  <dc:language>en-US</dc:language>
  <cp:lastModifiedBy/>
  <dcterms:modified xsi:type="dcterms:W3CDTF">2026-07-20T05:53:52Z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