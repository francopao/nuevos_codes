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de Demanda" sheetId="1" r:id="rId4"/>
    <sheet state="visible" name="Criterios de Decisión" sheetId="2" r:id="rId5"/>
    <sheet state="visible" name="Costo de oportunidad" sheetId="3" r:id="rId6"/>
    <sheet state="visible" name="ARBOL DE DECISIONES" sheetId="4" r:id="rId7"/>
    <sheet state="visible" name="Grafico de analisis de sensibil" sheetId="5" r:id="rId8"/>
  </sheets>
  <definedNames/>
  <calcPr/>
  <extLst>
    <ext uri="GoogleSheetsCustomDataVersion2">
      <go:sheetsCustomData xmlns:go="http://customooxmlschemas.google.com/" r:id="rId9" roundtripDataChecksum="lrzSvOxP6mHE1ASHzRgPF7DYYSnTxesH1hPYkuiKuS4="/>
    </ext>
  </extLst>
</workbook>
</file>

<file path=xl/sharedStrings.xml><?xml version="1.0" encoding="utf-8"?>
<sst xmlns="http://schemas.openxmlformats.org/spreadsheetml/2006/main" count="272" uniqueCount="114">
  <si>
    <t>UNIÓN DE CERVECERÍAS PERUANAS BACKUS Y JOHNSTON S.A.A. - DEMANDA SEMANAL POR LÍNEA DE PRODUCTO</t>
  </si>
  <si>
    <t>1. MATRIZ DE RESULTADOS (PAGOS) — Promedio de cajas vendidas por semana, en miles, según estado de demanda</t>
  </si>
  <si>
    <t>BACKUS — CRITERIOS DE DECISIÓN PARA TEORÍA DE JUEGOS (UN SOLO JUGADOR)</t>
  </si>
  <si>
    <t>Trabajo de Teoría de Juegos - Criterios de decisión con un jugador (determinísticos, Bayes y Valor Esperado)</t>
  </si>
  <si>
    <t>ALTERNATIVA (PRODUCTO)</t>
  </si>
  <si>
    <t>Empresa:</t>
  </si>
  <si>
    <t>DEMANDA BAJA</t>
  </si>
  <si>
    <t>DEMANDA MEDIA</t>
  </si>
  <si>
    <t>Unión de Cervecerías Peruanas Backus y Johnston S.A.A. (Backus, subsidiaria de AB InBev)</t>
  </si>
  <si>
    <t>DEMANDA ALTA</t>
  </si>
  <si>
    <t>Bolsa / Ticker:</t>
  </si>
  <si>
    <t>Cristal</t>
  </si>
  <si>
    <t>¿En qué línea de producto (Cristal, Pilsen Callao, Cusqueña o Guaraná Backus) debería la empresa priorizar su inversión productiva y comercial, sin conocer con certeza qué tan fuerte será la demanda?</t>
  </si>
  <si>
    <t>Bolsa de Valores de Lima (BVL) - BACKUSI1 / BACKUAC1</t>
  </si>
  <si>
    <t>Sector:</t>
  </si>
  <si>
    <t>Consumo masivo - bebidas (cervezas y gaseosas)</t>
  </si>
  <si>
    <t>Alternativas (productos analizados):</t>
  </si>
  <si>
    <t>Cristal, Pilsen Callao, Cusqueña, Guaraná Backus</t>
  </si>
  <si>
    <t>Unidad de medida:</t>
  </si>
  <si>
    <t>Miles de cajas vendidas por semana</t>
  </si>
  <si>
    <t>Periodo de datos:</t>
  </si>
  <si>
    <t>52 semanas (año 2025)</t>
  </si>
  <si>
    <r>
      <rPr>
        <rFont val="Arial"/>
        <i/>
        <color rgb="FF595959"/>
        <sz val="9.0"/>
      </rPr>
      <t xml:space="preserve">Nota metodológica: los volúmenes semanales son datos ilustrativos construidos a partir de patrones estacionales reales de la industria cervecera peruana (mayor consumo en verano, Carnavales, Fiestas Patrias y Navidad/Año Nuevo; menor consumo en invierno y Semana Santa). </t>
    </r>
    <r>
      <rPr>
        <rFont val="Arial"/>
        <b/>
        <i/>
        <color rgb="FF595959"/>
        <sz val="9.0"/>
      </rPr>
      <t>El 'Estado de la naturaleza' de cada semana equivale a la temporada de demanda (Baja/Media/Alta) que la empresa no controla, sobre la cual se aplican los criterios de decisión.</t>
    </r>
  </si>
  <si>
    <t>N° SEMANA</t>
  </si>
  <si>
    <t>MES</t>
  </si>
  <si>
    <t>ESTADO DE LA NATURALEZA
(TEMPORADA)</t>
  </si>
  <si>
    <t>CRISTAL</t>
  </si>
  <si>
    <t>PILSEN CALLAO</t>
  </si>
  <si>
    <t>CUSQUEÑA</t>
  </si>
  <si>
    <t>GUARANÁ BACKUS</t>
  </si>
  <si>
    <t>DEMANDA TOTAL
(miles de cajas)</t>
  </si>
  <si>
    <t>Jan</t>
  </si>
  <si>
    <t>Alta</t>
  </si>
  <si>
    <t>Pilsen Callao</t>
  </si>
  <si>
    <t>Cusqueña</t>
  </si>
  <si>
    <t>Guaraná Backus</t>
  </si>
  <si>
    <t>Probabilidad</t>
  </si>
  <si>
    <t>Probabilidad histórica (criterio BAYES)</t>
  </si>
  <si>
    <t>Feb</t>
  </si>
  <si>
    <t>Pilsen</t>
  </si>
  <si>
    <t>Guarana</t>
  </si>
  <si>
    <t>Probabilidad pronosticada (criterio VALOR ESPERADO)</t>
  </si>
  <si>
    <t>2. TABLA DE COSTO DE OPORTUNIDAD (arrepentimiento) — base del criterio de SAVAGE</t>
  </si>
  <si>
    <t>MÁXIMO
ARREPENTIMIENTO</t>
  </si>
  <si>
    <t>233.69</t>
  </si>
  <si>
    <t>206.31</t>
  </si>
  <si>
    <t>83.38</t>
  </si>
  <si>
    <t>0.35</t>
  </si>
  <si>
    <t>245.35</t>
  </si>
  <si>
    <t>Resultado: La alternativa recomendada mediante el criterio de Savage es Pilsen Callao, porque presenta el menor máximo costo de oportunidad: 53</t>
  </si>
  <si>
    <t>236.65</t>
  </si>
  <si>
    <t>199.95</t>
  </si>
  <si>
    <t>117.9</t>
  </si>
  <si>
    <t>Interpretacion: De acuerdo con el criterio de Savage, nos indica que, independientemente del nivel de demanda que se presente, elegir Pilsen Callao permite minimizar el máximo arrepentimiento que podría experimentar la empresa Backus al no haber escogido la alternativa que generaba el mayor beneficio en cada estado de la naturaleza</t>
  </si>
  <si>
    <t>Mar</t>
  </si>
  <si>
    <t>0.51</t>
  </si>
  <si>
    <t>Media</t>
  </si>
  <si>
    <t>250.78</t>
  </si>
  <si>
    <t>235.32</t>
  </si>
  <si>
    <t>133.97</t>
  </si>
  <si>
    <t>0.63</t>
  </si>
  <si>
    <t>254.74</t>
  </si>
  <si>
    <t>261.1</t>
  </si>
  <si>
    <t>261.14</t>
  </si>
  <si>
    <t>145.71</t>
  </si>
  <si>
    <t>3. CRITERIOS DE DECISIÓN</t>
  </si>
  <si>
    <t>Coeficiente de optimismo para HURWICZ:  α =</t>
  </si>
  <si>
    <t>(1-α = coeficiente de pesimismo; supuesto editable)</t>
  </si>
  <si>
    <t>LAPLACE
(razón suficiente)</t>
  </si>
  <si>
    <t>WALD PESIMISTA
(MAXIMIN)</t>
  </si>
  <si>
    <t>WALD OPTIMISTA
(MAXIMAX)</t>
  </si>
  <si>
    <t>SAVAGE
(mín. máx. arrepent.)</t>
  </si>
  <si>
    <t>HURWICZ
(α·máx+(1-α)·mín)</t>
  </si>
  <si>
    <t>MP
(máxima probabilidad)</t>
  </si>
  <si>
    <t>BAYES
(VE con prob. histórica)</t>
  </si>
  <si>
    <t>VE
(VE con prob. pronosticada)</t>
  </si>
  <si>
    <t>Apr</t>
  </si>
  <si>
    <t>Baja</t>
  </si>
  <si>
    <t>May</t>
  </si>
  <si>
    <t>Jun</t>
  </si>
  <si>
    <t>VEcIP</t>
  </si>
  <si>
    <t>-</t>
  </si>
  <si>
    <t>VEsIP=</t>
  </si>
  <si>
    <t>VEIP</t>
  </si>
  <si>
    <t>Resultado</t>
  </si>
  <si>
    <t>Interpretacion: Al tener como resultado el valor de 5 unidades, la empresa como maximo deberia estar dispuesto a pagar 5 unidades. El concepto de valor esperado de información representa precisamente cuánto mejora la decisión al disponer de información adicional.</t>
  </si>
  <si>
    <t>Jul</t>
  </si>
  <si>
    <t>Aug</t>
  </si>
  <si>
    <t>Sep</t>
  </si>
  <si>
    <t>Oct</t>
  </si>
  <si>
    <t>MEJOR ALTERNATIVA</t>
  </si>
  <si>
    <t>Nov</t>
  </si>
  <si>
    <t>4. MATRIZ RESUMEN DE DECISIÓN</t>
  </si>
  <si>
    <t>LAPLACE</t>
  </si>
  <si>
    <t>WALD PESIM.</t>
  </si>
  <si>
    <t>WALD OPTIM.</t>
  </si>
  <si>
    <t>SAVAGE</t>
  </si>
  <si>
    <t>Dec</t>
  </si>
  <si>
    <t>HURWICZ</t>
  </si>
  <si>
    <t>MP</t>
  </si>
  <si>
    <t>BAYES</t>
  </si>
  <si>
    <t>VE</t>
  </si>
  <si>
    <t>N° DE
CRITERIOS GANADOS</t>
  </si>
  <si>
    <t>FRECUENCIA HISTÓRICA DE ESTADOS DE LA NATURALEZA - 2025 (base del criterio de BAYES)</t>
  </si>
  <si>
    <t>ESTADO</t>
  </si>
  <si>
    <t>N° DE SEMANAS</t>
  </si>
  <si>
    <t>PROBABILIDAD HISTÓRICA
(Criterio de Bayes)</t>
  </si>
  <si>
    <t>Demanda Baja</t>
  </si>
  <si>
    <t>Demanda Media</t>
  </si>
  <si>
    <t>Demanda Alta</t>
  </si>
  <si>
    <t>TOTAL</t>
  </si>
  <si>
    <t>PROBABILIDAD PRONOSTICADA 2026 - ESTIMACIÓN COMERCIAL (base del criterio de VALOR ESPERADO)</t>
  </si>
  <si>
    <t>PROBABILIDAD PRONOSTICADA
(Valor Esperado)</t>
  </si>
  <si>
    <t>5. CONCLUSIÓN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</si>
</sst>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18">
    <font>
      <sz val="11.0"/>
      <color theme="1"/>
      <name val="Calibri"/>
      <scheme val="minor"/>
    </font>
    <font>
      <b/>
      <sz val="11.0"/>
      <color rgb="FFFFFFFF"/>
      <name val="Arial"/>
    </font>
    <font>
      <b/>
      <sz val="14.0"/>
      <color rgb="FFFFFFFF"/>
      <name val="Arial"/>
    </font>
    <font/>
    <font>
      <i/>
      <sz val="10.0"/>
      <color rgb="FF404040"/>
      <name val="Arial"/>
    </font>
    <font>
      <b/>
      <sz val="9.0"/>
      <color rgb="FFFFFFFF"/>
      <name val="Arial"/>
    </font>
    <font>
      <b/>
      <sz val="10.0"/>
      <color theme="1"/>
      <name val="Arial"/>
    </font>
    <font>
      <sz val="10.0"/>
      <color theme="1"/>
      <name val="Arial"/>
    </font>
    <font>
      <i/>
      <sz val="9.0"/>
      <color rgb="FF595959"/>
      <name val="Arial"/>
    </font>
    <font>
      <sz val="10.0"/>
      <color rgb="FF008000"/>
      <name val="Arial"/>
    </font>
    <font>
      <b/>
      <sz val="10.0"/>
      <color rgb="FFFFFFFF"/>
      <name val="Arial"/>
    </font>
    <font>
      <sz val="10.0"/>
      <color rgb="FF0000FF"/>
      <name val="Arial"/>
    </font>
    <font>
      <sz val="10.0"/>
      <color rgb="FF000000"/>
      <name val="Arial"/>
    </font>
    <font>
      <color theme="1"/>
      <name val="Calibri"/>
      <scheme val="minor"/>
    </font>
    <font>
      <sz val="11.0"/>
      <color rgb="FF000000"/>
      <name val="Calibri"/>
    </font>
    <font>
      <b/>
      <sz val="10.0"/>
      <color rgb="FFC00000"/>
      <name val="Arial"/>
    </font>
    <font>
      <sz val="11.0"/>
      <color theme="1"/>
      <name val="Calibri"/>
    </font>
    <font>
      <b/>
      <sz val="11.0"/>
      <color rgb="FFC00000"/>
      <name val="Arial"/>
    </font>
  </fonts>
  <fills count="15">
    <fill>
      <patternFill patternType="none"/>
    </fill>
    <fill>
      <patternFill patternType="lightGray"/>
    </fill>
    <fill>
      <patternFill patternType="solid">
        <fgColor rgb="FF8C1D18"/>
        <bgColor rgb="FF8C1D18"/>
      </patternFill>
    </fill>
    <fill>
      <patternFill patternType="solid">
        <fgColor rgb="FFC00000"/>
        <bgColor rgb="FFC00000"/>
      </patternFill>
    </fill>
    <fill>
      <patternFill patternType="solid">
        <fgColor rgb="FF1F1F1F"/>
        <bgColor rgb="FF1F1F1F"/>
      </patternFill>
    </fill>
    <fill>
      <patternFill patternType="solid">
        <fgColor rgb="FFFBE5D6"/>
        <bgColor rgb="FFFBE5D6"/>
      </patternFill>
    </fill>
    <fill>
      <patternFill patternType="solid">
        <fgColor rgb="FFFCE4D6"/>
        <bgColor rgb="FFFCE4D6"/>
      </patternFill>
    </fill>
    <fill>
      <patternFill patternType="solid">
        <fgColor rgb="FF3D85C6"/>
        <bgColor rgb="FF3D85C6"/>
      </patternFill>
    </fill>
    <fill>
      <patternFill patternType="solid">
        <fgColor rgb="FF4A86E8"/>
        <bgColor rgb="FF4A86E8"/>
      </patternFill>
    </fill>
    <fill>
      <patternFill patternType="solid">
        <fgColor rgb="FFFFFF00"/>
        <bgColor rgb="FFFFFF00"/>
      </patternFill>
    </fill>
    <fill>
      <patternFill patternType="solid">
        <fgColor rgb="FFFFF2CC"/>
        <bgColor rgb="FFFFF2CC"/>
      </patternFill>
    </fill>
    <fill>
      <patternFill patternType="solid">
        <fgColor rgb="FFDDEBF7"/>
        <bgColor rgb="FFDDEBF7"/>
      </patternFill>
    </fill>
    <fill>
      <patternFill patternType="solid">
        <fgColor rgb="FFFF0000"/>
        <bgColor rgb="FFFF0000"/>
      </patternFill>
    </fill>
    <fill>
      <patternFill patternType="solid">
        <fgColor rgb="FF00FF00"/>
        <bgColor rgb="FF00FF00"/>
      </patternFill>
    </fill>
    <fill>
      <patternFill patternType="solid">
        <fgColor rgb="FFC6EFCE"/>
        <bgColor rgb="FFC6EFCE"/>
      </patternFill>
    </fill>
  </fills>
  <borders count="6">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0" fillId="0" fontId="4" numFmtId="0" xfId="0" applyAlignment="1" applyFont="1">
      <alignment horizontal="center" shrinkToFit="0" vertical="center" wrapText="1"/>
    </xf>
    <xf borderId="4" fillId="4" fontId="5" numFmtId="0" xfId="0" applyAlignment="1" applyBorder="1" applyFill="1" applyFont="1">
      <alignment horizontal="center" shrinkToFit="0" vertical="center" wrapText="1"/>
    </xf>
    <xf borderId="0" fillId="0" fontId="6" numFmtId="0" xfId="0" applyAlignment="1" applyFont="1">
      <alignment horizontal="left" shrinkToFit="0" vertical="center" wrapText="1"/>
    </xf>
    <xf borderId="0" fillId="0" fontId="7" numFmtId="0" xfId="0" applyAlignment="1" applyFont="1">
      <alignment horizontal="left" shrinkToFit="0" vertical="center" wrapText="1"/>
    </xf>
    <xf borderId="4" fillId="5" fontId="6" numFmtId="0" xfId="0" applyBorder="1" applyFill="1" applyFont="1"/>
    <xf borderId="0" fillId="0" fontId="8" numFmtId="0" xfId="0" applyAlignment="1" applyFont="1">
      <alignment horizontal="left" shrinkToFit="0" vertical="center" wrapText="1"/>
    </xf>
    <xf borderId="4" fillId="0" fontId="9" numFmtId="3" xfId="0" applyAlignment="1" applyBorder="1" applyFont="1" applyNumberFormat="1">
      <alignment horizontal="center" shrinkToFit="0" vertical="center" wrapText="1"/>
    </xf>
    <xf borderId="4" fillId="4" fontId="10" numFmtId="0" xfId="0" applyAlignment="1" applyBorder="1" applyFill="1" applyFont="1">
      <alignment horizontal="center" shrinkToFit="0" vertical="center" wrapText="1"/>
    </xf>
    <xf borderId="4" fillId="0" fontId="7" numFmtId="0" xfId="0" applyAlignment="1" applyBorder="1" applyFont="1">
      <alignment horizontal="center" shrinkToFit="0" vertical="center" wrapText="1"/>
    </xf>
    <xf borderId="4" fillId="6" fontId="7" numFmtId="0" xfId="0" applyAlignment="1" applyBorder="1" applyFill="1" applyFont="1">
      <alignment horizontal="center" shrinkToFit="0" vertical="center" wrapText="1"/>
    </xf>
    <xf borderId="4" fillId="0" fontId="11" numFmtId="3" xfId="0" applyAlignment="1" applyBorder="1" applyFont="1" applyNumberFormat="1">
      <alignment horizontal="center" shrinkToFit="0" vertical="center" wrapText="1"/>
    </xf>
    <xf borderId="4" fillId="0" fontId="12" numFmtId="3" xfId="0" applyAlignment="1" applyBorder="1" applyFont="1" applyNumberFormat="1">
      <alignment horizontal="center" shrinkToFit="0" vertical="center" wrapText="1"/>
    </xf>
    <xf borderId="5" fillId="7" fontId="13" numFmtId="0" xfId="0" applyAlignment="1" applyBorder="1" applyFill="1" applyFont="1">
      <alignment horizontal="center" readingOrder="0"/>
    </xf>
    <xf borderId="4" fillId="0" fontId="6" numFmtId="0" xfId="0" applyBorder="1" applyFont="1"/>
    <xf borderId="4" fillId="0" fontId="9" numFmtId="164" xfId="0" applyAlignment="1" applyBorder="1" applyFont="1" applyNumberFormat="1">
      <alignment horizontal="center" shrinkToFit="0" vertical="center" wrapText="1"/>
    </xf>
    <xf borderId="5" fillId="0" fontId="14" numFmtId="0" xfId="0" applyAlignment="1" applyBorder="1" applyFont="1">
      <alignment horizontal="center" readingOrder="0" shrinkToFit="0" vertical="bottom" wrapText="0"/>
    </xf>
    <xf borderId="5" fillId="8" fontId="14" numFmtId="0" xfId="0" applyAlignment="1" applyBorder="1" applyFill="1" applyFont="1">
      <alignment horizontal="center" readingOrder="0" shrinkToFit="0" vertical="bottom" wrapText="0"/>
    </xf>
    <xf borderId="4" fillId="9" fontId="12" numFmtId="3" xfId="0" applyAlignment="1" applyBorder="1" applyFill="1" applyFont="1" applyNumberFormat="1">
      <alignment horizontal="center" shrinkToFit="0" vertical="center" wrapText="1"/>
    </xf>
    <xf borderId="0" fillId="9" fontId="13" numFmtId="0" xfId="0" applyAlignment="1" applyFill="1" applyFont="1">
      <alignment horizontal="left" readingOrder="0" shrinkToFit="0" vertical="top" wrapText="1"/>
    </xf>
    <xf borderId="0" fillId="9" fontId="0" numFmtId="0" xfId="0" applyAlignment="1" applyFill="1" applyFont="1">
      <alignment horizontal="left" readingOrder="0" shrinkToFit="0" vertical="top" wrapText="1"/>
    </xf>
    <xf borderId="5" fillId="0" fontId="14" numFmtId="3" xfId="0" applyAlignment="1" applyBorder="1" applyFont="1" applyNumberFormat="1">
      <alignment horizontal="center" readingOrder="0" shrinkToFit="0" vertical="bottom" wrapText="0"/>
    </xf>
    <xf borderId="4" fillId="10" fontId="7" numFmtId="0" xfId="0" applyAlignment="1" applyBorder="1" applyFill="1" applyFont="1">
      <alignment horizontal="center" shrinkToFit="0" vertical="center" wrapText="1"/>
    </xf>
    <xf borderId="0" fillId="0" fontId="6" numFmtId="0" xfId="0" applyFont="1"/>
    <xf borderId="4" fillId="9" fontId="11" numFmtId="165" xfId="0" applyAlignment="1" applyBorder="1" applyFill="1" applyFont="1" applyNumberFormat="1">
      <alignment horizontal="center" shrinkToFit="0" vertical="center" wrapText="1"/>
    </xf>
    <xf borderId="0" fillId="0" fontId="8" numFmtId="0" xfId="0" applyFont="1"/>
    <xf borderId="4" fillId="11" fontId="7" numFmtId="0" xfId="0" applyAlignment="1" applyBorder="1" applyFill="1" applyFont="1">
      <alignment horizontal="center" shrinkToFit="0" vertical="center" wrapText="1"/>
    </xf>
    <xf borderId="4" fillId="12" fontId="12" numFmtId="3" xfId="0" applyAlignment="1" applyBorder="1" applyFill="1" applyFont="1" applyNumberFormat="1">
      <alignment horizontal="center" shrinkToFit="0" vertical="center" wrapText="1"/>
    </xf>
    <xf borderId="4" fillId="13" fontId="12" numFmtId="3" xfId="0" applyAlignment="1" applyBorder="1" applyFill="1" applyFont="1" applyNumberFormat="1">
      <alignment horizontal="center" shrinkToFit="0" vertical="center" wrapText="1"/>
    </xf>
    <xf borderId="0" fillId="0" fontId="13" numFmtId="0" xfId="0" applyAlignment="1" applyFont="1">
      <alignment horizontal="center" readingOrder="0"/>
    </xf>
    <xf borderId="0" fillId="9" fontId="13" numFmtId="0" xfId="0" applyAlignment="1" applyFill="1" applyFont="1">
      <alignment horizontal="center" readingOrder="0"/>
    </xf>
    <xf borderId="0" fillId="0" fontId="13" numFmtId="0" xfId="0" applyAlignment="1" applyFont="1">
      <alignment readingOrder="0"/>
    </xf>
    <xf borderId="0" fillId="9" fontId="13" numFmtId="0" xfId="0" applyAlignment="1" applyFill="1" applyFont="1">
      <alignment readingOrder="0" shrinkToFit="0" wrapText="1"/>
    </xf>
    <xf borderId="4" fillId="14" fontId="15" numFmtId="0" xfId="0" applyBorder="1" applyFill="1" applyFont="1"/>
    <xf borderId="4" fillId="14" fontId="15" numFmtId="0" xfId="0" applyAlignment="1" applyBorder="1" applyFill="1" applyFont="1">
      <alignment horizontal="center" shrinkToFit="0" vertical="center" wrapText="1"/>
    </xf>
    <xf borderId="4" fillId="0" fontId="15" numFmtId="0" xfId="0" applyAlignment="1" applyBorder="1" applyFont="1">
      <alignment horizontal="center" shrinkToFit="0" vertical="center" wrapText="1"/>
    </xf>
    <xf borderId="4" fillId="11" fontId="7" numFmtId="0" xfId="0" applyBorder="1" applyFill="1" applyFont="1"/>
    <xf borderId="4" fillId="0" fontId="6" numFmtId="0" xfId="0" applyAlignment="1" applyBorder="1" applyFont="1">
      <alignment horizontal="center" shrinkToFit="0" vertical="center" wrapText="1"/>
    </xf>
    <xf borderId="4" fillId="0" fontId="12" numFmtId="0" xfId="0" applyAlignment="1" applyBorder="1" applyFont="1">
      <alignment horizontal="center" shrinkToFit="0" vertical="center" wrapText="1"/>
    </xf>
    <xf borderId="4" fillId="0" fontId="12" numFmtId="164" xfId="0" applyAlignment="1" applyBorder="1" applyFont="1" applyNumberFormat="1">
      <alignment horizontal="center" shrinkToFit="0" vertical="center" wrapText="1"/>
    </xf>
    <xf borderId="4" fillId="10" fontId="7" numFmtId="0" xfId="0" applyBorder="1" applyFill="1" applyFont="1"/>
    <xf borderId="4" fillId="6" fontId="7" numFmtId="0" xfId="0" applyBorder="1" applyFill="1" applyFont="1"/>
    <xf borderId="4" fillId="0" fontId="6" numFmtId="164" xfId="0" applyAlignment="1" applyBorder="1" applyFont="1" applyNumberFormat="1">
      <alignment horizontal="center" shrinkToFit="0" vertical="center" wrapText="1"/>
    </xf>
    <xf borderId="4" fillId="0" fontId="16" numFmtId="0" xfId="0" applyBorder="1" applyFont="1"/>
    <xf borderId="4" fillId="9" fontId="11" numFmtId="164" xfId="0" applyAlignment="1" applyBorder="1" applyFill="1" applyFont="1" applyNumberFormat="1">
      <alignment horizontal="center" shrinkToFit="0" vertical="center" wrapText="1"/>
    </xf>
    <xf borderId="4" fillId="0" fontId="6" numFmtId="164" xfId="0" applyBorder="1" applyFont="1" applyNumberFormat="1"/>
    <xf borderId="0" fillId="0" fontId="8" numFmtId="0" xfId="0" applyAlignment="1" applyFont="1">
      <alignment shrinkToFit="0" vertical="center" wrapText="1"/>
    </xf>
    <xf borderId="0" fillId="0" fontId="17"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952500</xdr:colOff>
      <xdr:row>28</xdr:row>
      <xdr:rowOff>28575</xdr:rowOff>
    </xdr:from>
    <xdr:ext cx="6724650" cy="42862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790575</xdr:colOff>
      <xdr:row>2</xdr:row>
      <xdr:rowOff>57150</xdr:rowOff>
    </xdr:from>
    <xdr:ext cx="7143750" cy="39814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257175</xdr:colOff>
      <xdr:row>44</xdr:row>
      <xdr:rowOff>180975</xdr:rowOff>
    </xdr:from>
    <xdr:ext cx="3876675" cy="1085850"/>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5.0"/>
    <col customWidth="1" min="2" max="2" width="8.0"/>
    <col customWidth="1" min="3" max="3" width="17.0"/>
    <col customWidth="1" min="4" max="4" width="12.0"/>
    <col customWidth="1" min="5" max="5" width="15.0"/>
    <col customWidth="1" min="6" max="6" width="12.0"/>
    <col customWidth="1" min="7" max="8" width="16.0"/>
    <col customWidth="1" min="9" max="26" width="8.71"/>
  </cols>
  <sheetData>
    <row r="1" ht="48.0" customHeight="1">
      <c r="A1" s="2" t="s">
        <v>0</v>
      </c>
      <c r="B1" s="3"/>
      <c r="C1" s="3"/>
      <c r="D1" s="3"/>
      <c r="E1" s="3"/>
      <c r="F1" s="3"/>
      <c r="G1" s="3"/>
      <c r="H1" s="3"/>
      <c r="I1" s="4"/>
    </row>
    <row r="2" ht="15.0" customHeight="1">
      <c r="A2" s="5" t="s">
        <v>3</v>
      </c>
    </row>
    <row r="4" ht="15.0" customHeight="1">
      <c r="A4" s="7" t="s">
        <v>5</v>
      </c>
      <c r="C4" s="8" t="s">
        <v>8</v>
      </c>
    </row>
    <row r="5" ht="15.0" customHeight="1">
      <c r="A5" s="7" t="s">
        <v>10</v>
      </c>
      <c r="C5" s="8" t="s">
        <v>13</v>
      </c>
    </row>
    <row r="6" ht="15.0" customHeight="1">
      <c r="A6" s="7" t="s">
        <v>14</v>
      </c>
      <c r="C6" s="8" t="s">
        <v>15</v>
      </c>
    </row>
    <row r="7" ht="23.25" customHeight="1">
      <c r="A7" s="7" t="s">
        <v>16</v>
      </c>
      <c r="C7" s="8" t="s">
        <v>17</v>
      </c>
    </row>
    <row r="8" ht="15.0" customHeight="1">
      <c r="A8" s="7" t="s">
        <v>18</v>
      </c>
      <c r="C8" s="8" t="s">
        <v>19</v>
      </c>
    </row>
    <row r="9" ht="15.0" customHeight="1">
      <c r="A9" s="7" t="s">
        <v>20</v>
      </c>
      <c r="C9" s="8" t="s">
        <v>21</v>
      </c>
    </row>
    <row r="11" ht="45.0" customHeight="1">
      <c r="A11" s="10" t="s">
        <v>22</v>
      </c>
    </row>
    <row r="13" ht="42.75" customHeight="1">
      <c r="A13" s="12" t="s">
        <v>23</v>
      </c>
      <c r="B13" s="12" t="s">
        <v>24</v>
      </c>
      <c r="C13" s="12" t="s">
        <v>25</v>
      </c>
      <c r="D13" s="12" t="s">
        <v>26</v>
      </c>
      <c r="E13" s="12" t="s">
        <v>27</v>
      </c>
      <c r="F13" s="12" t="s">
        <v>28</v>
      </c>
      <c r="G13" s="12" t="s">
        <v>29</v>
      </c>
      <c r="H13" s="12" t="s">
        <v>30</v>
      </c>
    </row>
    <row r="14">
      <c r="A14" s="13">
        <v>1.0</v>
      </c>
      <c r="B14" s="13" t="s">
        <v>31</v>
      </c>
      <c r="C14" s="14" t="s">
        <v>32</v>
      </c>
      <c r="D14" s="15">
        <v>279.0</v>
      </c>
      <c r="E14" s="15">
        <v>297.0</v>
      </c>
      <c r="F14" s="15">
        <v>355.0</v>
      </c>
      <c r="G14" s="15">
        <v>199.0</v>
      </c>
      <c r="H14" s="16">
        <f t="shared" ref="H14:H65" si="1">SUM(D14:G14)</f>
        <v>1130</v>
      </c>
    </row>
    <row r="15">
      <c r="A15" s="13">
        <v>2.0</v>
      </c>
      <c r="B15" s="13" t="s">
        <v>31</v>
      </c>
      <c r="C15" s="14" t="s">
        <v>32</v>
      </c>
      <c r="D15" s="15">
        <v>266.0</v>
      </c>
      <c r="E15" s="15">
        <v>295.0</v>
      </c>
      <c r="F15" s="15">
        <v>378.0</v>
      </c>
      <c r="G15" s="15">
        <v>190.0</v>
      </c>
      <c r="H15" s="16">
        <f t="shared" si="1"/>
        <v>1129</v>
      </c>
    </row>
    <row r="16">
      <c r="A16" s="13">
        <v>3.0</v>
      </c>
      <c r="B16" s="13" t="s">
        <v>31</v>
      </c>
      <c r="C16" s="14" t="s">
        <v>32</v>
      </c>
      <c r="D16" s="15">
        <v>261.0</v>
      </c>
      <c r="E16" s="15">
        <v>311.0</v>
      </c>
      <c r="F16" s="15">
        <v>329.0</v>
      </c>
      <c r="G16" s="15">
        <v>174.0</v>
      </c>
      <c r="H16" s="16">
        <f t="shared" si="1"/>
        <v>1075</v>
      </c>
    </row>
    <row r="17">
      <c r="A17" s="13">
        <v>4.0</v>
      </c>
      <c r="B17" s="13" t="s">
        <v>31</v>
      </c>
      <c r="C17" s="14" t="s">
        <v>32</v>
      </c>
      <c r="D17" s="15">
        <v>275.0</v>
      </c>
      <c r="E17" s="15">
        <v>260.0</v>
      </c>
      <c r="F17" s="15">
        <v>299.0</v>
      </c>
      <c r="G17" s="15">
        <v>173.0</v>
      </c>
      <c r="H17" s="16">
        <f t="shared" si="1"/>
        <v>1007</v>
      </c>
    </row>
    <row r="18">
      <c r="A18" s="13">
        <v>5.0</v>
      </c>
      <c r="B18" s="13" t="s">
        <v>38</v>
      </c>
      <c r="C18" s="14" t="s">
        <v>32</v>
      </c>
      <c r="D18" s="15">
        <v>251.0</v>
      </c>
      <c r="E18" s="15">
        <v>307.0</v>
      </c>
      <c r="F18" s="15">
        <v>318.0</v>
      </c>
      <c r="G18" s="15">
        <v>162.0</v>
      </c>
      <c r="H18" s="16">
        <f t="shared" si="1"/>
        <v>1038</v>
      </c>
    </row>
    <row r="19">
      <c r="A19" s="13">
        <v>6.0</v>
      </c>
      <c r="B19" s="13" t="s">
        <v>38</v>
      </c>
      <c r="C19" s="14" t="s">
        <v>32</v>
      </c>
      <c r="D19" s="15">
        <v>298.0</v>
      </c>
      <c r="E19" s="15">
        <v>295.0</v>
      </c>
      <c r="F19" s="15">
        <v>342.0</v>
      </c>
      <c r="G19" s="15">
        <v>162.0</v>
      </c>
      <c r="H19" s="16">
        <f t="shared" si="1"/>
        <v>1097</v>
      </c>
    </row>
    <row r="20">
      <c r="A20" s="13">
        <v>7.0</v>
      </c>
      <c r="B20" s="13" t="s">
        <v>38</v>
      </c>
      <c r="C20" s="14" t="s">
        <v>32</v>
      </c>
      <c r="D20" s="15">
        <v>260.0</v>
      </c>
      <c r="E20" s="15">
        <v>302.0</v>
      </c>
      <c r="F20" s="15">
        <v>313.0</v>
      </c>
      <c r="G20" s="15">
        <v>185.0</v>
      </c>
      <c r="H20" s="16">
        <f t="shared" si="1"/>
        <v>1060</v>
      </c>
    </row>
    <row r="21" ht="15.75" customHeight="1">
      <c r="A21" s="13">
        <v>8.0</v>
      </c>
      <c r="B21" s="13" t="s">
        <v>38</v>
      </c>
      <c r="C21" s="14" t="s">
        <v>32</v>
      </c>
      <c r="D21" s="15">
        <v>259.0</v>
      </c>
      <c r="E21" s="15">
        <v>294.0</v>
      </c>
      <c r="F21" s="15">
        <v>326.0</v>
      </c>
      <c r="G21" s="15">
        <v>203.0</v>
      </c>
      <c r="H21" s="16">
        <f t="shared" si="1"/>
        <v>1082</v>
      </c>
    </row>
    <row r="22" ht="15.75" customHeight="1">
      <c r="A22" s="13">
        <v>9.0</v>
      </c>
      <c r="B22" s="13" t="s">
        <v>54</v>
      </c>
      <c r="C22" s="26" t="s">
        <v>56</v>
      </c>
      <c r="D22" s="15">
        <v>245.0</v>
      </c>
      <c r="E22" s="15">
        <v>213.0</v>
      </c>
      <c r="F22" s="15">
        <v>159.0</v>
      </c>
      <c r="G22" s="15">
        <v>87.0</v>
      </c>
      <c r="H22" s="16">
        <f t="shared" si="1"/>
        <v>704</v>
      </c>
    </row>
    <row r="23" ht="15.75" customHeight="1">
      <c r="A23" s="13">
        <v>10.0</v>
      </c>
      <c r="B23" s="13" t="s">
        <v>54</v>
      </c>
      <c r="C23" s="26" t="s">
        <v>56</v>
      </c>
      <c r="D23" s="15">
        <v>249.0</v>
      </c>
      <c r="E23" s="15">
        <v>198.0</v>
      </c>
      <c r="F23" s="15">
        <v>136.0</v>
      </c>
      <c r="G23" s="15">
        <v>96.0</v>
      </c>
      <c r="H23" s="16">
        <f t="shared" si="1"/>
        <v>679</v>
      </c>
    </row>
    <row r="24" ht="15.75" customHeight="1">
      <c r="A24" s="13">
        <v>11.0</v>
      </c>
      <c r="B24" s="13" t="s">
        <v>54</v>
      </c>
      <c r="C24" s="26" t="s">
        <v>56</v>
      </c>
      <c r="D24" s="15">
        <v>258.0</v>
      </c>
      <c r="E24" s="15">
        <v>233.0</v>
      </c>
      <c r="F24" s="15">
        <v>149.0</v>
      </c>
      <c r="G24" s="15">
        <v>93.0</v>
      </c>
      <c r="H24" s="16">
        <f t="shared" si="1"/>
        <v>733</v>
      </c>
    </row>
    <row r="25" ht="15.75" customHeight="1">
      <c r="A25" s="13">
        <v>12.0</v>
      </c>
      <c r="B25" s="13" t="s">
        <v>54</v>
      </c>
      <c r="C25" s="26" t="s">
        <v>56</v>
      </c>
      <c r="D25" s="15">
        <v>220.0</v>
      </c>
      <c r="E25" s="15">
        <v>218.0</v>
      </c>
      <c r="F25" s="15">
        <v>145.0</v>
      </c>
      <c r="G25" s="15">
        <v>102.0</v>
      </c>
      <c r="H25" s="16">
        <f t="shared" si="1"/>
        <v>685</v>
      </c>
    </row>
    <row r="26" ht="15.75" customHeight="1">
      <c r="A26" s="13">
        <v>13.0</v>
      </c>
      <c r="B26" s="13" t="s">
        <v>54</v>
      </c>
      <c r="C26" s="26" t="s">
        <v>56</v>
      </c>
      <c r="D26" s="15">
        <v>251.0</v>
      </c>
      <c r="E26" s="15">
        <v>202.0</v>
      </c>
      <c r="F26" s="15">
        <v>153.0</v>
      </c>
      <c r="G26" s="15">
        <v>92.0</v>
      </c>
      <c r="H26" s="16">
        <f t="shared" si="1"/>
        <v>698</v>
      </c>
    </row>
    <row r="27" ht="15.75" customHeight="1">
      <c r="A27" s="13">
        <v>14.0</v>
      </c>
      <c r="B27" s="13" t="s">
        <v>76</v>
      </c>
      <c r="C27" s="30" t="s">
        <v>77</v>
      </c>
      <c r="D27" s="15">
        <v>200.0</v>
      </c>
      <c r="E27" s="15">
        <v>156.0</v>
      </c>
      <c r="F27" s="15">
        <v>75.0</v>
      </c>
      <c r="G27" s="15">
        <v>59.0</v>
      </c>
      <c r="H27" s="16">
        <f t="shared" si="1"/>
        <v>490</v>
      </c>
    </row>
    <row r="28" ht="15.75" customHeight="1">
      <c r="A28" s="13">
        <v>15.0</v>
      </c>
      <c r="B28" s="13" t="s">
        <v>76</v>
      </c>
      <c r="C28" s="26" t="s">
        <v>56</v>
      </c>
      <c r="D28" s="15">
        <v>231.0</v>
      </c>
      <c r="E28" s="15">
        <v>225.0</v>
      </c>
      <c r="F28" s="15">
        <v>153.0</v>
      </c>
      <c r="G28" s="15">
        <v>101.0</v>
      </c>
      <c r="H28" s="16">
        <f t="shared" si="1"/>
        <v>710</v>
      </c>
    </row>
    <row r="29" ht="15.75" customHeight="1">
      <c r="A29" s="13">
        <v>16.0</v>
      </c>
      <c r="B29" s="13" t="s">
        <v>76</v>
      </c>
      <c r="C29" s="26" t="s">
        <v>56</v>
      </c>
      <c r="D29" s="15">
        <v>237.0</v>
      </c>
      <c r="E29" s="15">
        <v>227.0</v>
      </c>
      <c r="F29" s="15">
        <v>138.0</v>
      </c>
      <c r="G29" s="15">
        <v>87.0</v>
      </c>
      <c r="H29" s="16">
        <f t="shared" si="1"/>
        <v>689</v>
      </c>
    </row>
    <row r="30" ht="15.75" customHeight="1">
      <c r="A30" s="13">
        <v>17.0</v>
      </c>
      <c r="B30" s="13" t="s">
        <v>76</v>
      </c>
      <c r="C30" s="26" t="s">
        <v>56</v>
      </c>
      <c r="D30" s="15">
        <v>259.0</v>
      </c>
      <c r="E30" s="15">
        <v>252.0</v>
      </c>
      <c r="F30" s="15">
        <v>149.0</v>
      </c>
      <c r="G30" s="15">
        <v>102.0</v>
      </c>
      <c r="H30" s="16">
        <f t="shared" si="1"/>
        <v>762</v>
      </c>
    </row>
    <row r="31" ht="15.75" customHeight="1">
      <c r="A31" s="13">
        <v>18.0</v>
      </c>
      <c r="B31" s="13" t="s">
        <v>78</v>
      </c>
      <c r="C31" s="26" t="s">
        <v>56</v>
      </c>
      <c r="D31" s="15">
        <v>251.0</v>
      </c>
      <c r="E31" s="15">
        <v>220.0</v>
      </c>
      <c r="F31" s="15">
        <v>154.0</v>
      </c>
      <c r="G31" s="15">
        <v>105.0</v>
      </c>
      <c r="H31" s="16">
        <f t="shared" si="1"/>
        <v>730</v>
      </c>
    </row>
    <row r="32" ht="15.75" customHeight="1">
      <c r="A32" s="13">
        <v>19.0</v>
      </c>
      <c r="B32" s="13" t="s">
        <v>78</v>
      </c>
      <c r="C32" s="26" t="s">
        <v>56</v>
      </c>
      <c r="D32" s="15">
        <v>244.0</v>
      </c>
      <c r="E32" s="15">
        <v>255.0</v>
      </c>
      <c r="F32" s="15">
        <v>122.0</v>
      </c>
      <c r="G32" s="15">
        <v>100.0</v>
      </c>
      <c r="H32" s="16">
        <f t="shared" si="1"/>
        <v>721</v>
      </c>
    </row>
    <row r="33" ht="15.75" customHeight="1">
      <c r="A33" s="13">
        <v>20.0</v>
      </c>
      <c r="B33" s="13" t="s">
        <v>78</v>
      </c>
      <c r="C33" s="26" t="s">
        <v>56</v>
      </c>
      <c r="D33" s="15">
        <v>246.0</v>
      </c>
      <c r="E33" s="15">
        <v>225.0</v>
      </c>
      <c r="F33" s="15">
        <v>151.0</v>
      </c>
      <c r="G33" s="15">
        <v>82.0</v>
      </c>
      <c r="H33" s="16">
        <f t="shared" si="1"/>
        <v>704</v>
      </c>
    </row>
    <row r="34" ht="15.75" customHeight="1">
      <c r="A34" s="13">
        <v>21.0</v>
      </c>
      <c r="B34" s="13" t="s">
        <v>78</v>
      </c>
      <c r="C34" s="26" t="s">
        <v>56</v>
      </c>
      <c r="D34" s="15">
        <v>241.0</v>
      </c>
      <c r="E34" s="15">
        <v>236.0</v>
      </c>
      <c r="F34" s="15">
        <v>166.0</v>
      </c>
      <c r="G34" s="15">
        <v>92.0</v>
      </c>
      <c r="H34" s="16">
        <f t="shared" si="1"/>
        <v>735</v>
      </c>
    </row>
    <row r="35" ht="15.75" customHeight="1">
      <c r="A35" s="13">
        <v>22.0</v>
      </c>
      <c r="B35" s="13" t="s">
        <v>79</v>
      </c>
      <c r="C35" s="30" t="s">
        <v>77</v>
      </c>
      <c r="D35" s="15">
        <v>198.0</v>
      </c>
      <c r="E35" s="15">
        <v>145.0</v>
      </c>
      <c r="F35" s="15">
        <v>74.0</v>
      </c>
      <c r="G35" s="15">
        <v>56.0</v>
      </c>
      <c r="H35" s="16">
        <f t="shared" si="1"/>
        <v>473</v>
      </c>
    </row>
    <row r="36" ht="15.75" customHeight="1">
      <c r="A36" s="13">
        <v>23.0</v>
      </c>
      <c r="B36" s="13" t="s">
        <v>79</v>
      </c>
      <c r="C36" s="30" t="s">
        <v>77</v>
      </c>
      <c r="D36" s="15">
        <v>202.0</v>
      </c>
      <c r="E36" s="15">
        <v>155.0</v>
      </c>
      <c r="F36" s="15">
        <v>70.0</v>
      </c>
      <c r="G36" s="15">
        <v>59.0</v>
      </c>
      <c r="H36" s="16">
        <f t="shared" si="1"/>
        <v>486</v>
      </c>
    </row>
    <row r="37" ht="15.75" customHeight="1">
      <c r="A37" s="13">
        <v>24.0</v>
      </c>
      <c r="B37" s="13" t="s">
        <v>79</v>
      </c>
      <c r="C37" s="30" t="s">
        <v>77</v>
      </c>
      <c r="D37" s="15">
        <v>200.0</v>
      </c>
      <c r="E37" s="15">
        <v>147.0</v>
      </c>
      <c r="F37" s="15">
        <v>68.0</v>
      </c>
      <c r="G37" s="15">
        <v>49.0</v>
      </c>
      <c r="H37" s="16">
        <f t="shared" si="1"/>
        <v>464</v>
      </c>
    </row>
    <row r="38" ht="15.75" customHeight="1">
      <c r="A38" s="13">
        <v>25.0</v>
      </c>
      <c r="B38" s="13" t="s">
        <v>79</v>
      </c>
      <c r="C38" s="30" t="s">
        <v>77</v>
      </c>
      <c r="D38" s="15">
        <v>214.0</v>
      </c>
      <c r="E38" s="15">
        <v>153.0</v>
      </c>
      <c r="F38" s="15">
        <v>70.0</v>
      </c>
      <c r="G38" s="15">
        <v>54.0</v>
      </c>
      <c r="H38" s="16">
        <f t="shared" si="1"/>
        <v>491</v>
      </c>
    </row>
    <row r="39" ht="15.75" customHeight="1">
      <c r="A39" s="13">
        <v>26.0</v>
      </c>
      <c r="B39" s="13" t="s">
        <v>79</v>
      </c>
      <c r="C39" s="30" t="s">
        <v>77</v>
      </c>
      <c r="D39" s="15">
        <v>189.0</v>
      </c>
      <c r="E39" s="15">
        <v>146.0</v>
      </c>
      <c r="F39" s="15">
        <v>68.0</v>
      </c>
      <c r="G39" s="15">
        <v>52.0</v>
      </c>
      <c r="H39" s="16">
        <f t="shared" si="1"/>
        <v>455</v>
      </c>
    </row>
    <row r="40" ht="15.75" customHeight="1">
      <c r="A40" s="13">
        <v>27.0</v>
      </c>
      <c r="B40" s="13" t="s">
        <v>86</v>
      </c>
      <c r="C40" s="30" t="s">
        <v>77</v>
      </c>
      <c r="D40" s="15">
        <v>208.0</v>
      </c>
      <c r="E40" s="15">
        <v>154.0</v>
      </c>
      <c r="F40" s="15">
        <v>79.0</v>
      </c>
      <c r="G40" s="15">
        <v>56.0</v>
      </c>
      <c r="H40" s="16">
        <f t="shared" si="1"/>
        <v>497</v>
      </c>
    </row>
    <row r="41" ht="15.75" customHeight="1">
      <c r="A41" s="13">
        <v>28.0</v>
      </c>
      <c r="B41" s="13" t="s">
        <v>86</v>
      </c>
      <c r="C41" s="30" t="s">
        <v>77</v>
      </c>
      <c r="D41" s="15">
        <v>214.0</v>
      </c>
      <c r="E41" s="15">
        <v>149.0</v>
      </c>
      <c r="F41" s="15">
        <v>61.0</v>
      </c>
      <c r="G41" s="15">
        <v>55.0</v>
      </c>
      <c r="H41" s="16">
        <f t="shared" si="1"/>
        <v>479</v>
      </c>
    </row>
    <row r="42" ht="15.75" customHeight="1">
      <c r="A42" s="13">
        <v>29.0</v>
      </c>
      <c r="B42" s="13" t="s">
        <v>86</v>
      </c>
      <c r="C42" s="30" t="s">
        <v>77</v>
      </c>
      <c r="D42" s="15">
        <v>211.0</v>
      </c>
      <c r="E42" s="15">
        <v>176.0</v>
      </c>
      <c r="F42" s="15">
        <v>69.0</v>
      </c>
      <c r="G42" s="15">
        <v>56.0</v>
      </c>
      <c r="H42" s="16">
        <f t="shared" si="1"/>
        <v>512</v>
      </c>
    </row>
    <row r="43" ht="15.75" customHeight="1">
      <c r="A43" s="13">
        <v>30.0</v>
      </c>
      <c r="B43" s="13" t="s">
        <v>86</v>
      </c>
      <c r="C43" s="14" t="s">
        <v>32</v>
      </c>
      <c r="D43" s="15">
        <v>269.0</v>
      </c>
      <c r="E43" s="15">
        <v>275.0</v>
      </c>
      <c r="F43" s="15">
        <v>367.0</v>
      </c>
      <c r="G43" s="15">
        <v>189.0</v>
      </c>
      <c r="H43" s="16">
        <f t="shared" si="1"/>
        <v>1100</v>
      </c>
    </row>
    <row r="44" ht="15.75" customHeight="1">
      <c r="A44" s="13">
        <v>31.0</v>
      </c>
      <c r="B44" s="13" t="s">
        <v>87</v>
      </c>
      <c r="C44" s="30" t="s">
        <v>77</v>
      </c>
      <c r="D44" s="15">
        <v>222.0</v>
      </c>
      <c r="E44" s="15">
        <v>140.0</v>
      </c>
      <c r="F44" s="15">
        <v>77.0</v>
      </c>
      <c r="G44" s="15">
        <v>50.0</v>
      </c>
      <c r="H44" s="16">
        <f t="shared" si="1"/>
        <v>489</v>
      </c>
    </row>
    <row r="45" ht="15.75" customHeight="1">
      <c r="A45" s="13">
        <v>32.0</v>
      </c>
      <c r="B45" s="13" t="s">
        <v>87</v>
      </c>
      <c r="C45" s="30" t="s">
        <v>77</v>
      </c>
      <c r="D45" s="15">
        <v>219.0</v>
      </c>
      <c r="E45" s="15">
        <v>173.0</v>
      </c>
      <c r="F45" s="15">
        <v>65.0</v>
      </c>
      <c r="G45" s="15">
        <v>53.0</v>
      </c>
      <c r="H45" s="16">
        <f t="shared" si="1"/>
        <v>510</v>
      </c>
    </row>
    <row r="46" ht="15.75" customHeight="1">
      <c r="A46" s="13">
        <v>33.0</v>
      </c>
      <c r="B46" s="13" t="s">
        <v>87</v>
      </c>
      <c r="C46" s="30" t="s">
        <v>77</v>
      </c>
      <c r="D46" s="15">
        <v>211.0</v>
      </c>
      <c r="E46" s="15">
        <v>145.0</v>
      </c>
      <c r="F46" s="15">
        <v>62.0</v>
      </c>
      <c r="G46" s="15">
        <v>55.0</v>
      </c>
      <c r="H46" s="16">
        <f t="shared" si="1"/>
        <v>473</v>
      </c>
    </row>
    <row r="47" ht="15.75" customHeight="1">
      <c r="A47" s="13">
        <v>34.0</v>
      </c>
      <c r="B47" s="13" t="s">
        <v>87</v>
      </c>
      <c r="C47" s="30" t="s">
        <v>77</v>
      </c>
      <c r="D47" s="15">
        <v>194.0</v>
      </c>
      <c r="E47" s="15">
        <v>155.0</v>
      </c>
      <c r="F47" s="15">
        <v>65.0</v>
      </c>
      <c r="G47" s="15">
        <v>61.0</v>
      </c>
      <c r="H47" s="16">
        <f t="shared" si="1"/>
        <v>475</v>
      </c>
    </row>
    <row r="48" ht="15.75" customHeight="1">
      <c r="A48" s="13">
        <v>35.0</v>
      </c>
      <c r="B48" s="13" t="s">
        <v>88</v>
      </c>
      <c r="C48" s="30" t="s">
        <v>77</v>
      </c>
      <c r="D48" s="15">
        <v>198.0</v>
      </c>
      <c r="E48" s="15">
        <v>147.0</v>
      </c>
      <c r="F48" s="15">
        <v>74.0</v>
      </c>
      <c r="G48" s="15">
        <v>50.0</v>
      </c>
      <c r="H48" s="16">
        <f t="shared" si="1"/>
        <v>469</v>
      </c>
    </row>
    <row r="49" ht="15.75" customHeight="1">
      <c r="A49" s="13">
        <v>36.0</v>
      </c>
      <c r="B49" s="13" t="s">
        <v>88</v>
      </c>
      <c r="C49" s="26" t="s">
        <v>56</v>
      </c>
      <c r="D49" s="15">
        <v>249.0</v>
      </c>
      <c r="E49" s="15">
        <v>251.0</v>
      </c>
      <c r="F49" s="15">
        <v>133.0</v>
      </c>
      <c r="G49" s="15">
        <v>96.0</v>
      </c>
      <c r="H49" s="16">
        <f t="shared" si="1"/>
        <v>729</v>
      </c>
    </row>
    <row r="50" ht="15.75" customHeight="1">
      <c r="A50" s="13">
        <v>37.0</v>
      </c>
      <c r="B50" s="13" t="s">
        <v>88</v>
      </c>
      <c r="C50" s="26" t="s">
        <v>56</v>
      </c>
      <c r="D50" s="15">
        <v>249.0</v>
      </c>
      <c r="E50" s="15">
        <v>243.0</v>
      </c>
      <c r="F50" s="15">
        <v>137.0</v>
      </c>
      <c r="G50" s="15">
        <v>86.0</v>
      </c>
      <c r="H50" s="16">
        <f t="shared" si="1"/>
        <v>715</v>
      </c>
    </row>
    <row r="51" ht="15.75" customHeight="1">
      <c r="A51" s="13">
        <v>38.0</v>
      </c>
      <c r="B51" s="13" t="s">
        <v>88</v>
      </c>
      <c r="C51" s="26" t="s">
        <v>56</v>
      </c>
      <c r="D51" s="15">
        <v>254.0</v>
      </c>
      <c r="E51" s="15">
        <v>235.0</v>
      </c>
      <c r="F51" s="15">
        <v>153.0</v>
      </c>
      <c r="G51" s="15">
        <v>97.0</v>
      </c>
      <c r="H51" s="16">
        <f t="shared" si="1"/>
        <v>739</v>
      </c>
    </row>
    <row r="52" ht="15.75" customHeight="1">
      <c r="A52" s="13">
        <v>39.0</v>
      </c>
      <c r="B52" s="13" t="s">
        <v>88</v>
      </c>
      <c r="C52" s="26" t="s">
        <v>56</v>
      </c>
      <c r="D52" s="15">
        <v>233.0</v>
      </c>
      <c r="E52" s="15">
        <v>234.0</v>
      </c>
      <c r="F52" s="15">
        <v>153.0</v>
      </c>
      <c r="G52" s="15">
        <v>90.0</v>
      </c>
      <c r="H52" s="16">
        <f t="shared" si="1"/>
        <v>710</v>
      </c>
    </row>
    <row r="53" ht="15.75" customHeight="1">
      <c r="A53" s="13">
        <v>40.0</v>
      </c>
      <c r="B53" s="13" t="s">
        <v>89</v>
      </c>
      <c r="C53" s="26" t="s">
        <v>56</v>
      </c>
      <c r="D53" s="15">
        <v>277.0</v>
      </c>
      <c r="E53" s="15">
        <v>238.0</v>
      </c>
      <c r="F53" s="15">
        <v>137.0</v>
      </c>
      <c r="G53" s="15">
        <v>99.0</v>
      </c>
      <c r="H53" s="16">
        <f t="shared" si="1"/>
        <v>751</v>
      </c>
    </row>
    <row r="54" ht="15.75" customHeight="1">
      <c r="A54" s="13">
        <v>41.0</v>
      </c>
      <c r="B54" s="13" t="s">
        <v>89</v>
      </c>
      <c r="C54" s="26" t="s">
        <v>56</v>
      </c>
      <c r="D54" s="15">
        <v>228.0</v>
      </c>
      <c r="E54" s="15">
        <v>243.0</v>
      </c>
      <c r="F54" s="15">
        <v>162.0</v>
      </c>
      <c r="G54" s="15">
        <v>90.0</v>
      </c>
      <c r="H54" s="16">
        <f t="shared" si="1"/>
        <v>723</v>
      </c>
    </row>
    <row r="55" ht="15.75" customHeight="1">
      <c r="A55" s="13">
        <v>42.0</v>
      </c>
      <c r="B55" s="13" t="s">
        <v>89</v>
      </c>
      <c r="C55" s="26" t="s">
        <v>56</v>
      </c>
      <c r="D55" s="15">
        <v>262.0</v>
      </c>
      <c r="E55" s="15">
        <v>237.0</v>
      </c>
      <c r="F55" s="15">
        <v>159.0</v>
      </c>
      <c r="G55" s="15">
        <v>108.0</v>
      </c>
      <c r="H55" s="16">
        <f t="shared" si="1"/>
        <v>766</v>
      </c>
    </row>
    <row r="56" ht="15.75" customHeight="1">
      <c r="A56" s="13">
        <v>43.0</v>
      </c>
      <c r="B56" s="13" t="s">
        <v>89</v>
      </c>
      <c r="C56" s="26" t="s">
        <v>56</v>
      </c>
      <c r="D56" s="15">
        <v>241.0</v>
      </c>
      <c r="E56" s="15">
        <v>218.0</v>
      </c>
      <c r="F56" s="15">
        <v>141.0</v>
      </c>
      <c r="G56" s="15">
        <v>90.0</v>
      </c>
      <c r="H56" s="16">
        <f t="shared" si="1"/>
        <v>690</v>
      </c>
    </row>
    <row r="57" ht="15.75" customHeight="1">
      <c r="A57" s="13">
        <v>44.0</v>
      </c>
      <c r="B57" s="13" t="s">
        <v>91</v>
      </c>
      <c r="C57" s="26" t="s">
        <v>56</v>
      </c>
      <c r="D57" s="15">
        <v>244.0</v>
      </c>
      <c r="E57" s="15">
        <v>235.0</v>
      </c>
      <c r="F57" s="15">
        <v>153.0</v>
      </c>
      <c r="G57" s="15">
        <v>101.0</v>
      </c>
      <c r="H57" s="16">
        <f t="shared" si="1"/>
        <v>733</v>
      </c>
    </row>
    <row r="58" ht="15.75" customHeight="1">
      <c r="A58" s="13">
        <v>45.0</v>
      </c>
      <c r="B58" s="13" t="s">
        <v>91</v>
      </c>
      <c r="C58" s="26" t="s">
        <v>56</v>
      </c>
      <c r="D58" s="15">
        <v>245.0</v>
      </c>
      <c r="E58" s="15">
        <v>253.0</v>
      </c>
      <c r="F58" s="15">
        <v>147.0</v>
      </c>
      <c r="G58" s="15">
        <v>113.0</v>
      </c>
      <c r="H58" s="16">
        <f t="shared" si="1"/>
        <v>758</v>
      </c>
    </row>
    <row r="59" ht="15.75" customHeight="1">
      <c r="A59" s="13">
        <v>46.0</v>
      </c>
      <c r="B59" s="13" t="s">
        <v>91</v>
      </c>
      <c r="C59" s="26" t="s">
        <v>56</v>
      </c>
      <c r="D59" s="15">
        <v>256.0</v>
      </c>
      <c r="E59" s="15">
        <v>216.0</v>
      </c>
      <c r="F59" s="15">
        <v>139.0</v>
      </c>
      <c r="G59" s="15">
        <v>98.0</v>
      </c>
      <c r="H59" s="16">
        <f t="shared" si="1"/>
        <v>709</v>
      </c>
    </row>
    <row r="60" ht="15.75" customHeight="1">
      <c r="A60" s="13">
        <v>47.0</v>
      </c>
      <c r="B60" s="13" t="s">
        <v>91</v>
      </c>
      <c r="C60" s="26" t="s">
        <v>56</v>
      </c>
      <c r="D60" s="15">
        <v>241.0</v>
      </c>
      <c r="E60" s="15">
        <v>241.0</v>
      </c>
      <c r="F60" s="15">
        <v>155.0</v>
      </c>
      <c r="G60" s="15">
        <v>95.0</v>
      </c>
      <c r="H60" s="16">
        <f t="shared" si="1"/>
        <v>732</v>
      </c>
    </row>
    <row r="61" ht="15.75" customHeight="1">
      <c r="A61" s="13">
        <v>48.0</v>
      </c>
      <c r="B61" s="13" t="s">
        <v>97</v>
      </c>
      <c r="C61" s="26" t="s">
        <v>56</v>
      </c>
      <c r="D61" s="15">
        <v>230.0</v>
      </c>
      <c r="E61" s="15">
        <v>206.0</v>
      </c>
      <c r="F61" s="15">
        <v>145.0</v>
      </c>
      <c r="G61" s="15">
        <v>101.0</v>
      </c>
      <c r="H61" s="16">
        <f t="shared" si="1"/>
        <v>682</v>
      </c>
    </row>
    <row r="62" ht="15.75" customHeight="1">
      <c r="A62" s="13">
        <v>49.0</v>
      </c>
      <c r="B62" s="13" t="s">
        <v>97</v>
      </c>
      <c r="C62" s="14" t="s">
        <v>32</v>
      </c>
      <c r="D62" s="15">
        <v>274.0</v>
      </c>
      <c r="E62" s="15">
        <v>274.0</v>
      </c>
      <c r="F62" s="15">
        <v>344.0</v>
      </c>
      <c r="G62" s="15">
        <v>185.0</v>
      </c>
      <c r="H62" s="16">
        <f t="shared" si="1"/>
        <v>1077</v>
      </c>
    </row>
    <row r="63" ht="15.75" customHeight="1">
      <c r="A63" s="13">
        <v>50.0</v>
      </c>
      <c r="B63" s="13" t="s">
        <v>97</v>
      </c>
      <c r="C63" s="14" t="s">
        <v>32</v>
      </c>
      <c r="D63" s="15">
        <v>253.0</v>
      </c>
      <c r="E63" s="15">
        <v>303.0</v>
      </c>
      <c r="F63" s="15">
        <v>341.0</v>
      </c>
      <c r="G63" s="15">
        <v>166.0</v>
      </c>
      <c r="H63" s="16">
        <f t="shared" si="1"/>
        <v>1063</v>
      </c>
    </row>
    <row r="64" ht="15.75" customHeight="1">
      <c r="A64" s="13">
        <v>51.0</v>
      </c>
      <c r="B64" s="13" t="s">
        <v>97</v>
      </c>
      <c r="C64" s="14" t="s">
        <v>32</v>
      </c>
      <c r="D64" s="15">
        <v>277.0</v>
      </c>
      <c r="E64" s="15">
        <v>312.0</v>
      </c>
      <c r="F64" s="15">
        <v>366.0</v>
      </c>
      <c r="G64" s="15">
        <v>193.0</v>
      </c>
      <c r="H64" s="16">
        <f t="shared" si="1"/>
        <v>1148</v>
      </c>
    </row>
    <row r="65" ht="15.75" customHeight="1">
      <c r="A65" s="13">
        <v>52.0</v>
      </c>
      <c r="B65" s="13" t="s">
        <v>97</v>
      </c>
      <c r="C65" s="14" t="s">
        <v>32</v>
      </c>
      <c r="D65" s="15">
        <v>244.0</v>
      </c>
      <c r="E65" s="15">
        <v>280.0</v>
      </c>
      <c r="F65" s="15">
        <v>352.0</v>
      </c>
      <c r="G65" s="15">
        <v>186.0</v>
      </c>
      <c r="H65" s="16">
        <f t="shared" si="1"/>
        <v>1062</v>
      </c>
    </row>
    <row r="66" ht="15.75" customHeight="1"/>
    <row r="67" ht="26.25" customHeight="1">
      <c r="A67" s="1" t="s">
        <v>103</v>
      </c>
      <c r="B67" s="3"/>
      <c r="C67" s="3"/>
      <c r="D67" s="3"/>
      <c r="E67" s="4"/>
    </row>
    <row r="68" ht="15.75" customHeight="1">
      <c r="A68" s="12" t="s">
        <v>104</v>
      </c>
      <c r="B68" s="12" t="s">
        <v>105</v>
      </c>
      <c r="C68" s="12" t="s">
        <v>106</v>
      </c>
    </row>
    <row r="69" ht="15.75" customHeight="1">
      <c r="A69" s="40" t="s">
        <v>107</v>
      </c>
      <c r="B69" s="42">
        <f>COUNTIF($C$14:$C$65,"Baja")</f>
        <v>14</v>
      </c>
      <c r="C69" s="43">
        <f t="shared" ref="C69:C71" si="2">B69/52</f>
        <v>0.2692307692</v>
      </c>
    </row>
    <row r="70" ht="15.75" customHeight="1">
      <c r="A70" s="44" t="s">
        <v>108</v>
      </c>
      <c r="B70" s="42">
        <f>COUNTIF($C$14:$C$65,"Media")</f>
        <v>25</v>
      </c>
      <c r="C70" s="43">
        <f t="shared" si="2"/>
        <v>0.4807692308</v>
      </c>
    </row>
    <row r="71" ht="15.75" customHeight="1">
      <c r="A71" s="45" t="s">
        <v>109</v>
      </c>
      <c r="B71" s="42">
        <f>COUNTIF($C$14:$C$65,"Alta")</f>
        <v>13</v>
      </c>
      <c r="C71" s="43">
        <f t="shared" si="2"/>
        <v>0.25</v>
      </c>
    </row>
    <row r="72" ht="15.75" customHeight="1">
      <c r="A72" s="41" t="s">
        <v>110</v>
      </c>
      <c r="B72" s="41">
        <f t="shared" ref="B72:C72" si="3">SUM(B69:B71)</f>
        <v>52</v>
      </c>
      <c r="C72" s="46">
        <f t="shared" si="3"/>
        <v>1</v>
      </c>
    </row>
    <row r="73" ht="15.75" customHeight="1"/>
    <row r="74" ht="26.25" customHeight="1">
      <c r="A74" s="1" t="s">
        <v>111</v>
      </c>
      <c r="B74" s="3"/>
      <c r="C74" s="3"/>
      <c r="D74" s="3"/>
      <c r="E74" s="4"/>
    </row>
    <row r="75" ht="15.75" customHeight="1">
      <c r="A75" s="12" t="s">
        <v>104</v>
      </c>
      <c r="B75" s="12"/>
      <c r="C75" s="12" t="s">
        <v>112</v>
      </c>
    </row>
    <row r="76" ht="15.75" customHeight="1">
      <c r="A76" s="40" t="s">
        <v>107</v>
      </c>
      <c r="B76" s="47"/>
      <c r="C76" s="48">
        <v>0.2</v>
      </c>
    </row>
    <row r="77" ht="15.75" customHeight="1">
      <c r="A77" s="44" t="s">
        <v>108</v>
      </c>
      <c r="B77" s="47"/>
      <c r="C77" s="48">
        <v>0.45</v>
      </c>
    </row>
    <row r="78" ht="15.75" customHeight="1">
      <c r="A78" s="45" t="s">
        <v>109</v>
      </c>
      <c r="B78" s="47"/>
      <c r="C78" s="48">
        <v>0.35</v>
      </c>
    </row>
    <row r="79" ht="15.75" customHeight="1">
      <c r="A79" s="18" t="s">
        <v>110</v>
      </c>
      <c r="B79" s="47"/>
      <c r="C79" s="49">
        <f>SUM(C76:C78)</f>
        <v>1</v>
      </c>
    </row>
    <row r="80" ht="15.75" customHeight="1"/>
    <row r="81" ht="15.0" customHeight="1">
      <c r="A81" s="50"/>
      <c r="B81" s="50"/>
      <c r="C81" s="50"/>
      <c r="D81" s="50"/>
      <c r="E81" s="50"/>
      <c r="F81" s="50"/>
      <c r="G81" s="50"/>
      <c r="H81" s="50"/>
      <c r="I81" s="50"/>
    </row>
    <row r="82" ht="15.75" customHeight="1">
      <c r="A82" s="50"/>
      <c r="B82" s="50"/>
      <c r="C82" s="50"/>
      <c r="D82" s="50"/>
      <c r="E82" s="50"/>
      <c r="F82" s="50"/>
      <c r="G82" s="50"/>
      <c r="H82" s="50"/>
      <c r="I82" s="50"/>
    </row>
    <row r="83" ht="15.75" customHeight="1">
      <c r="A83" s="50"/>
      <c r="B83" s="50"/>
      <c r="C83" s="50"/>
      <c r="D83" s="50"/>
      <c r="E83" s="50"/>
      <c r="F83" s="50"/>
      <c r="G83" s="50"/>
      <c r="H83" s="50"/>
      <c r="I83" s="50"/>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6:B6"/>
    <mergeCell ref="A7:B7"/>
    <mergeCell ref="A8:B8"/>
    <mergeCell ref="A9:B9"/>
    <mergeCell ref="A67:E67"/>
    <mergeCell ref="A74:E74"/>
    <mergeCell ref="C7:I7"/>
    <mergeCell ref="C8:I8"/>
    <mergeCell ref="C9:I9"/>
    <mergeCell ref="A11:I11"/>
    <mergeCell ref="A1:I1"/>
    <mergeCell ref="A2:I2"/>
    <mergeCell ref="A4:B4"/>
    <mergeCell ref="C4:I4"/>
    <mergeCell ref="A5:B5"/>
    <mergeCell ref="C5:I5"/>
    <mergeCell ref="C6:I6"/>
  </mergeCells>
  <printOptions horizontalCentered="1"/>
  <pageMargins bottom="0.4" footer="0.0" header="0.0" left="0.3" right="0.3" top="0.4"/>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7.57"/>
    <col customWidth="1" min="2" max="4" width="15.0"/>
    <col customWidth="1" min="5" max="9" width="16.0"/>
    <col customWidth="1" min="10" max="10" width="14.0"/>
    <col customWidth="1" min="11" max="26" width="8.71"/>
  </cols>
  <sheetData>
    <row r="1" ht="25.5" customHeight="1">
      <c r="A1" s="2" t="s">
        <v>2</v>
      </c>
      <c r="B1" s="3"/>
      <c r="C1" s="3"/>
      <c r="D1" s="3"/>
      <c r="E1" s="3"/>
      <c r="F1" s="3"/>
      <c r="G1" s="3"/>
      <c r="H1" s="3"/>
      <c r="I1" s="3"/>
      <c r="J1" s="4"/>
    </row>
    <row r="2" ht="25.5" customHeight="1">
      <c r="A2" s="5" t="s">
        <v>12</v>
      </c>
    </row>
    <row r="4" ht="15.0" customHeight="1">
      <c r="A4" s="1" t="s">
        <v>1</v>
      </c>
      <c r="B4" s="3"/>
      <c r="C4" s="3"/>
      <c r="D4" s="3"/>
      <c r="E4" s="3"/>
      <c r="F4" s="3"/>
      <c r="G4" s="3"/>
      <c r="H4" s="3"/>
      <c r="I4" s="3"/>
      <c r="J4" s="4"/>
    </row>
    <row r="5">
      <c r="A5" s="6" t="s">
        <v>4</v>
      </c>
      <c r="B5" s="6" t="s">
        <v>6</v>
      </c>
      <c r="C5" s="6" t="s">
        <v>7</v>
      </c>
      <c r="D5" s="6" t="s">
        <v>9</v>
      </c>
    </row>
    <row r="6">
      <c r="A6" s="9" t="s">
        <v>11</v>
      </c>
      <c r="B6" s="11">
        <f>AVERAGEIFS('Datos de Demanda'!$D$14:$D$65,'Datos de Demanda'!$C$14:$C$65,"Baja")</f>
        <v>205.7142857</v>
      </c>
      <c r="C6" s="11">
        <f>AVERAGEIFS('Datos de Demanda'!$D$14:$D$65,'Datos de Demanda'!$C$14:$C$65,"Media")</f>
        <v>245.64</v>
      </c>
      <c r="D6" s="11">
        <f>AVERAGEIFS('Datos de Demanda'!$D$14:$D$65,'Datos de Demanda'!$C$14:$C$65,"Alta")</f>
        <v>266.6153846</v>
      </c>
    </row>
    <row r="7">
      <c r="A7" s="9" t="s">
        <v>33</v>
      </c>
      <c r="B7" s="11">
        <f>AVERAGEIFS('Datos de Demanda'!$E$14:$E$65,'Datos de Demanda'!$C$14:$C$65,"Baja")</f>
        <v>152.9285714</v>
      </c>
      <c r="C7" s="11">
        <f>AVERAGEIFS('Datos de Demanda'!$E$14:$E$65,'Datos de Demanda'!$C$14:$C$65,"Media")</f>
        <v>230.16</v>
      </c>
      <c r="D7" s="11">
        <f>AVERAGEIFS('Datos de Demanda'!$E$14:$E$65,'Datos de Demanda'!$C$14:$C$65,"Alta")</f>
        <v>292.6923077</v>
      </c>
    </row>
    <row r="8">
      <c r="A8" s="9" t="s">
        <v>34</v>
      </c>
      <c r="B8" s="11">
        <f>AVERAGEIFS('Datos de Demanda'!$F$14:$F$65,'Datos de Demanda'!$C$14:$C$65,"Baja")</f>
        <v>69.78571429</v>
      </c>
      <c r="C8" s="11">
        <f>AVERAGEIFS('Datos de Demanda'!$F$14:$F$65,'Datos de Demanda'!$C$14:$C$65,"Media")</f>
        <v>147.56</v>
      </c>
      <c r="D8" s="11">
        <f>AVERAGEIFS('Datos de Demanda'!$F$14:$F$65,'Datos de Demanda'!$C$14:$C$65,"Alta")</f>
        <v>340.7692308</v>
      </c>
    </row>
    <row r="9">
      <c r="A9" s="9" t="s">
        <v>35</v>
      </c>
      <c r="B9" s="11">
        <f>AVERAGEIFS('Datos de Demanda'!$G$14:$G$65,'Datos de Demanda'!$C$14:$C$65,"Baja")</f>
        <v>54.64285714</v>
      </c>
      <c r="C9" s="11">
        <f>AVERAGEIFS('Datos de Demanda'!$G$14:$G$65,'Datos de Demanda'!$C$14:$C$65,"Media")</f>
        <v>96.12</v>
      </c>
      <c r="D9" s="11">
        <f>AVERAGEIFS('Datos de Demanda'!$G$14:$G$65,'Datos de Demanda'!$C$14:$C$65,"Alta")</f>
        <v>182.0769231</v>
      </c>
    </row>
    <row r="11">
      <c r="A11" s="18" t="s">
        <v>37</v>
      </c>
      <c r="B11" s="19">
        <f>'Datos de Demanda'!$C$69</f>
        <v>0.2692307692</v>
      </c>
      <c r="C11" s="19">
        <f>'Datos de Demanda'!$C$70</f>
        <v>0.4807692308</v>
      </c>
      <c r="D11" s="19">
        <f>'Datos de Demanda'!$C$71</f>
        <v>0.25</v>
      </c>
    </row>
    <row r="12">
      <c r="A12" s="18" t="s">
        <v>41</v>
      </c>
      <c r="B12" s="19">
        <f>'Datos de Demanda'!$C$76</f>
        <v>0.2</v>
      </c>
      <c r="C12" s="19">
        <f>'Datos de Demanda'!$C$77</f>
        <v>0.45</v>
      </c>
      <c r="D12" s="19">
        <f>'Datos de Demanda'!$C$78</f>
        <v>0.35</v>
      </c>
    </row>
    <row r="14" ht="15.0" customHeight="1">
      <c r="A14" s="1" t="s">
        <v>42</v>
      </c>
      <c r="B14" s="3"/>
      <c r="C14" s="3"/>
      <c r="D14" s="3"/>
      <c r="E14" s="3"/>
      <c r="F14" s="3"/>
      <c r="G14" s="3"/>
      <c r="H14" s="3"/>
      <c r="I14" s="3"/>
      <c r="J14" s="4"/>
    </row>
    <row r="15">
      <c r="A15" s="6" t="s">
        <v>4</v>
      </c>
      <c r="B15" s="6" t="s">
        <v>6</v>
      </c>
      <c r="C15" s="6" t="s">
        <v>7</v>
      </c>
      <c r="D15" s="6" t="s">
        <v>9</v>
      </c>
      <c r="E15" s="6" t="s">
        <v>43</v>
      </c>
    </row>
    <row r="16">
      <c r="A16" s="9" t="s">
        <v>11</v>
      </c>
      <c r="B16" s="16">
        <f t="shared" ref="B16:D16" si="1">MAX(B$6:B$9)-B6</f>
        <v>0</v>
      </c>
      <c r="C16" s="16">
        <f t="shared" si="1"/>
        <v>0</v>
      </c>
      <c r="D16" s="16">
        <f t="shared" si="1"/>
        <v>74.15384615</v>
      </c>
      <c r="E16" s="16">
        <f t="shared" ref="E16:E19" si="3">MAX(B16:D16)</f>
        <v>74.15384615</v>
      </c>
    </row>
    <row r="17">
      <c r="A17" s="9" t="s">
        <v>33</v>
      </c>
      <c r="B17" s="16">
        <f t="shared" ref="B17:D17" si="2">MAX(B$6:B$9)-B7</f>
        <v>52.78571429</v>
      </c>
      <c r="C17" s="16">
        <f t="shared" si="2"/>
        <v>15.48</v>
      </c>
      <c r="D17" s="16">
        <f t="shared" si="2"/>
        <v>48.07692308</v>
      </c>
      <c r="E17" s="16">
        <f t="shared" si="3"/>
        <v>52.78571429</v>
      </c>
    </row>
    <row r="18">
      <c r="A18" s="9" t="s">
        <v>34</v>
      </c>
      <c r="B18" s="16">
        <f t="shared" ref="B18:D18" si="4">MAX(B$6:B$9)-B8</f>
        <v>135.9285714</v>
      </c>
      <c r="C18" s="16">
        <f t="shared" si="4"/>
        <v>98.08</v>
      </c>
      <c r="D18" s="16">
        <f t="shared" si="4"/>
        <v>0</v>
      </c>
      <c r="E18" s="16">
        <f t="shared" si="3"/>
        <v>135.9285714</v>
      </c>
    </row>
    <row r="19">
      <c r="A19" s="9" t="s">
        <v>35</v>
      </c>
      <c r="B19" s="16">
        <f t="shared" ref="B19:D19" si="5">MAX(B$6:B$9)-B9</f>
        <v>151.0714286</v>
      </c>
      <c r="C19" s="16">
        <f t="shared" si="5"/>
        <v>149.52</v>
      </c>
      <c r="D19" s="16">
        <f t="shared" si="5"/>
        <v>158.6923077</v>
      </c>
      <c r="E19" s="16">
        <f t="shared" si="3"/>
        <v>158.6923077</v>
      </c>
    </row>
    <row r="21" ht="15.0" customHeight="1">
      <c r="A21" s="1" t="s">
        <v>65</v>
      </c>
      <c r="B21" s="3"/>
      <c r="C21" s="3"/>
      <c r="D21" s="3"/>
      <c r="E21" s="3"/>
      <c r="F21" s="3"/>
      <c r="G21" s="3"/>
      <c r="H21" s="3"/>
      <c r="I21" s="3"/>
      <c r="J21" s="4"/>
    </row>
    <row r="22" ht="15.75" customHeight="1">
      <c r="A22" s="27" t="s">
        <v>66</v>
      </c>
      <c r="G22" s="28">
        <v>0.6</v>
      </c>
      <c r="H22" s="29" t="s">
        <v>67</v>
      </c>
    </row>
    <row r="23" ht="42.0" customHeight="1">
      <c r="A23" s="6" t="s">
        <v>4</v>
      </c>
      <c r="B23" s="6" t="s">
        <v>68</v>
      </c>
      <c r="C23" s="6" t="s">
        <v>69</v>
      </c>
      <c r="D23" s="6" t="s">
        <v>70</v>
      </c>
      <c r="E23" s="6" t="s">
        <v>71</v>
      </c>
      <c r="F23" s="6" t="s">
        <v>72</v>
      </c>
      <c r="G23" s="6" t="s">
        <v>73</v>
      </c>
      <c r="H23" s="6" t="s">
        <v>74</v>
      </c>
      <c r="I23" s="6" t="s">
        <v>75</v>
      </c>
    </row>
    <row r="24" ht="15.75" customHeight="1">
      <c r="A24" s="9" t="s">
        <v>11</v>
      </c>
      <c r="B24" s="16">
        <f t="shared" ref="B24:B27" si="6">AVERAGE(B6:D6)</f>
        <v>239.3232234</v>
      </c>
      <c r="C24" s="16">
        <f t="shared" ref="C24:C27" si="7">MIN(B6:D6)</f>
        <v>205.7142857</v>
      </c>
      <c r="D24" s="16">
        <f t="shared" ref="D24:D27" si="8">MAX(B6:D6)</f>
        <v>266.6153846</v>
      </c>
      <c r="E24" s="16">
        <f t="shared" ref="E24:E27" si="9">E16</f>
        <v>74.15384615</v>
      </c>
      <c r="F24" s="16">
        <f>$G22*MAX(B6:D6)+(1-$G22)*MIN(B6:D6)</f>
        <v>242.2549451</v>
      </c>
      <c r="G24" s="16">
        <f t="shared" ref="G24:G27" si="10">INDEX(B6:D6,MATCH(MAX($B$11:$D$11),$B$11:$D$11,0))</f>
        <v>245.64</v>
      </c>
      <c r="H24" s="16">
        <f t="shared" ref="H24:H27" si="11">SUMPRODUCT(B6:D6,$B$11:$D$11)</f>
        <v>240.1346154</v>
      </c>
      <c r="I24" s="16">
        <f t="shared" ref="I24:I27" si="12">SUMPRODUCT(B6:D6,$B$12:$D$12)</f>
        <v>244.9962418</v>
      </c>
    </row>
    <row r="25" ht="15.75" customHeight="1">
      <c r="A25" s="9" t="s">
        <v>33</v>
      </c>
      <c r="B25" s="16">
        <f t="shared" si="6"/>
        <v>225.260293</v>
      </c>
      <c r="C25" s="16">
        <f t="shared" si="7"/>
        <v>152.9285714</v>
      </c>
      <c r="D25" s="16">
        <f t="shared" si="8"/>
        <v>292.6923077</v>
      </c>
      <c r="E25" s="16">
        <f t="shared" si="9"/>
        <v>52.78571429</v>
      </c>
      <c r="F25" s="16">
        <f>$G22*MAX(B7:D7)+(1-$G22)*MIN(B7:D7)</f>
        <v>236.7868132</v>
      </c>
      <c r="G25" s="16">
        <f t="shared" si="10"/>
        <v>230.16</v>
      </c>
      <c r="H25" s="16">
        <f t="shared" si="11"/>
        <v>225</v>
      </c>
      <c r="I25" s="16">
        <f t="shared" si="12"/>
        <v>236.600022</v>
      </c>
    </row>
    <row r="26" ht="15.75" customHeight="1">
      <c r="A26" s="9" t="s">
        <v>34</v>
      </c>
      <c r="B26" s="16">
        <f t="shared" si="6"/>
        <v>186.038315</v>
      </c>
      <c r="C26" s="16">
        <f t="shared" si="7"/>
        <v>69.78571429</v>
      </c>
      <c r="D26" s="16">
        <f t="shared" si="8"/>
        <v>340.7692308</v>
      </c>
      <c r="E26" s="16">
        <f t="shared" si="9"/>
        <v>135.9285714</v>
      </c>
      <c r="F26" s="16">
        <f>$G22*MAX(B8:D8)+(1-$G22)*MIN(B8:D8)</f>
        <v>232.3758242</v>
      </c>
      <c r="G26" s="16">
        <f t="shared" si="10"/>
        <v>147.56</v>
      </c>
      <c r="H26" s="16">
        <f t="shared" si="11"/>
        <v>174.9230769</v>
      </c>
      <c r="I26" s="16">
        <f t="shared" si="12"/>
        <v>199.6283736</v>
      </c>
    </row>
    <row r="27" ht="15.75" customHeight="1">
      <c r="A27" s="9" t="s">
        <v>35</v>
      </c>
      <c r="B27" s="16">
        <f t="shared" si="6"/>
        <v>110.9465934</v>
      </c>
      <c r="C27" s="16">
        <f t="shared" si="7"/>
        <v>54.64285714</v>
      </c>
      <c r="D27" s="16">
        <f t="shared" si="8"/>
        <v>182.0769231</v>
      </c>
      <c r="E27" s="16">
        <f t="shared" si="9"/>
        <v>158.6923077</v>
      </c>
      <c r="F27" s="16">
        <f>$G22*MAX(B9:D9)+(1-$G22)*MIN(B9:D9)</f>
        <v>131.1032967</v>
      </c>
      <c r="G27" s="16">
        <f t="shared" si="10"/>
        <v>96.12</v>
      </c>
      <c r="H27" s="16">
        <f t="shared" si="11"/>
        <v>106.4423077</v>
      </c>
      <c r="I27" s="16">
        <f t="shared" si="12"/>
        <v>117.9094945</v>
      </c>
    </row>
    <row r="28" ht="15.75" customHeight="1"/>
    <row r="29" ht="15.75" customHeight="1">
      <c r="A29" s="37" t="s">
        <v>90</v>
      </c>
      <c r="B29" s="38" t="str">
        <f t="shared" ref="B29:D29" si="13">INDEX($A$24:$A$27,MATCH(MAX(B24:B27),B24:B27,0))</f>
        <v>Cristal</v>
      </c>
      <c r="C29" s="38" t="str">
        <f t="shared" si="13"/>
        <v>Cristal</v>
      </c>
      <c r="D29" s="38" t="str">
        <f t="shared" si="13"/>
        <v>Cusqueña</v>
      </c>
      <c r="E29" s="38" t="str">
        <f t="array" ref="E29">INDEX($A$24:$A$27,MATCH(MIN(E24:E27),E24:E27,0))</f>
        <v>Pilsen Callao</v>
      </c>
      <c r="F29" s="38" t="str">
        <f t="shared" ref="F29:I29" si="14">INDEX($A$24:$A$27,MATCH(MAX(F24:F27),F24:F27,0))</f>
        <v>Cristal</v>
      </c>
      <c r="G29" s="38" t="str">
        <f t="shared" si="14"/>
        <v>Cristal</v>
      </c>
      <c r="H29" s="38" t="str">
        <f t="shared" si="14"/>
        <v>Cristal</v>
      </c>
      <c r="I29" s="38" t="str">
        <f t="shared" si="14"/>
        <v>Cristal</v>
      </c>
    </row>
    <row r="30" ht="15.75" customHeight="1"/>
    <row r="31" ht="15.0" customHeight="1">
      <c r="A31" s="1" t="s">
        <v>92</v>
      </c>
      <c r="B31" s="3"/>
      <c r="C31" s="3"/>
      <c r="D31" s="3"/>
      <c r="E31" s="3"/>
      <c r="F31" s="3"/>
      <c r="G31" s="3"/>
      <c r="H31" s="3"/>
      <c r="I31" s="3"/>
      <c r="J31" s="4"/>
    </row>
    <row r="32" ht="15.75" customHeight="1">
      <c r="A32" s="6" t="s">
        <v>4</v>
      </c>
      <c r="B32" s="6" t="s">
        <v>93</v>
      </c>
      <c r="C32" s="6" t="s">
        <v>94</v>
      </c>
      <c r="D32" s="6" t="s">
        <v>95</v>
      </c>
      <c r="E32" s="6" t="s">
        <v>96</v>
      </c>
      <c r="F32" s="6" t="s">
        <v>98</v>
      </c>
      <c r="G32" s="6" t="s">
        <v>99</v>
      </c>
      <c r="H32" s="6" t="s">
        <v>100</v>
      </c>
      <c r="I32" s="6" t="s">
        <v>101</v>
      </c>
      <c r="J32" s="6" t="s">
        <v>102</v>
      </c>
    </row>
    <row r="33" ht="15.75" customHeight="1">
      <c r="A33" s="9" t="s">
        <v>11</v>
      </c>
      <c r="B33" s="39" t="str">
        <f t="shared" ref="B33:B36" si="15">IF($A33=$B$29,"X","")</f>
        <v>X</v>
      </c>
      <c r="C33" s="39" t="str">
        <f t="shared" ref="C33:C36" si="16">IF($A33=$C$29,"X","")</f>
        <v>X</v>
      </c>
      <c r="D33" s="39" t="str">
        <f t="shared" ref="D33:D36" si="17">IF($A33=$D$29,"X","")</f>
        <v/>
      </c>
      <c r="E33" s="39" t="str">
        <f t="shared" ref="E33:E36" si="18">IF($A33=$E$29,"X","")</f>
        <v/>
      </c>
      <c r="F33" s="39" t="str">
        <f t="shared" ref="F33:F36" si="19">IF($A33=$F$29,"X","")</f>
        <v>X</v>
      </c>
      <c r="G33" s="39" t="str">
        <f t="shared" ref="G33:G36" si="20">IF($A33=$G$29,"X","")</f>
        <v>X</v>
      </c>
      <c r="H33" s="39" t="str">
        <f t="shared" ref="H33:H36" si="21">IF($A33=$H$29,"X","")</f>
        <v>X</v>
      </c>
      <c r="I33" s="39" t="str">
        <f t="shared" ref="I33:I36" si="22">IF($A33=$I$29,"X","")</f>
        <v>X</v>
      </c>
      <c r="J33" s="41">
        <f t="shared" ref="J33:J36" si="23">COUNTIF(B33:I33,"X")</f>
        <v>6</v>
      </c>
    </row>
    <row r="34" ht="15.75" customHeight="1">
      <c r="A34" s="9" t="s">
        <v>33</v>
      </c>
      <c r="B34" s="39" t="str">
        <f t="shared" si="15"/>
        <v/>
      </c>
      <c r="C34" s="39" t="str">
        <f t="shared" si="16"/>
        <v/>
      </c>
      <c r="D34" s="39" t="str">
        <f t="shared" si="17"/>
        <v/>
      </c>
      <c r="E34" s="39" t="str">
        <f t="shared" si="18"/>
        <v>X</v>
      </c>
      <c r="F34" s="39" t="str">
        <f t="shared" si="19"/>
        <v/>
      </c>
      <c r="G34" s="39" t="str">
        <f t="shared" si="20"/>
        <v/>
      </c>
      <c r="H34" s="39" t="str">
        <f t="shared" si="21"/>
        <v/>
      </c>
      <c r="I34" s="39" t="str">
        <f t="shared" si="22"/>
        <v/>
      </c>
      <c r="J34" s="41">
        <f t="shared" si="23"/>
        <v>1</v>
      </c>
    </row>
    <row r="35" ht="15.75" customHeight="1">
      <c r="A35" s="9" t="s">
        <v>34</v>
      </c>
      <c r="B35" s="39" t="str">
        <f t="shared" si="15"/>
        <v/>
      </c>
      <c r="C35" s="39" t="str">
        <f t="shared" si="16"/>
        <v/>
      </c>
      <c r="D35" s="39" t="str">
        <f t="shared" si="17"/>
        <v>X</v>
      </c>
      <c r="E35" s="39" t="str">
        <f t="shared" si="18"/>
        <v/>
      </c>
      <c r="F35" s="39" t="str">
        <f t="shared" si="19"/>
        <v/>
      </c>
      <c r="G35" s="39" t="str">
        <f t="shared" si="20"/>
        <v/>
      </c>
      <c r="H35" s="39" t="str">
        <f t="shared" si="21"/>
        <v/>
      </c>
      <c r="I35" s="39" t="str">
        <f t="shared" si="22"/>
        <v/>
      </c>
      <c r="J35" s="41">
        <f t="shared" si="23"/>
        <v>1</v>
      </c>
    </row>
    <row r="36" ht="15.75" customHeight="1">
      <c r="A36" s="9" t="s">
        <v>35</v>
      </c>
      <c r="B36" s="39" t="str">
        <f t="shared" si="15"/>
        <v/>
      </c>
      <c r="C36" s="39" t="str">
        <f t="shared" si="16"/>
        <v/>
      </c>
      <c r="D36" s="39" t="str">
        <f t="shared" si="17"/>
        <v/>
      </c>
      <c r="E36" s="39" t="str">
        <f t="shared" si="18"/>
        <v/>
      </c>
      <c r="F36" s="39" t="str">
        <f t="shared" si="19"/>
        <v/>
      </c>
      <c r="G36" s="39" t="str">
        <f t="shared" si="20"/>
        <v/>
      </c>
      <c r="H36" s="39" t="str">
        <f t="shared" si="21"/>
        <v/>
      </c>
      <c r="I36" s="39" t="str">
        <f t="shared" si="22"/>
        <v/>
      </c>
      <c r="J36" s="41">
        <f t="shared" si="23"/>
        <v>0</v>
      </c>
    </row>
    <row r="37" ht="15.75" customHeight="1"/>
    <row r="38" ht="15.75" customHeight="1"/>
    <row r="39" ht="15.0" customHeight="1">
      <c r="A39" s="1" t="s">
        <v>113</v>
      </c>
      <c r="B39" s="3"/>
      <c r="C39" s="3"/>
      <c r="D39" s="3"/>
      <c r="E39" s="3"/>
      <c r="F39" s="3"/>
      <c r="G39" s="3"/>
      <c r="H39" s="3"/>
      <c r="I39" s="3"/>
      <c r="J39" s="4"/>
    </row>
    <row r="40" ht="90.0" customHeight="1">
      <c r="A40" s="51" t="str">
        <f t="array" ref="A40">"La alternativa con mayor número de criterios de decisión favorables es "&amp;INDEX($A$33:$A$36,MATCH(MAX($J$33:$J$36),$J$33:$J$36,0))&amp;", con "&amp;TEXT(MAX($J$33:$J$36),"0")&amp;" de 8 criterios ganados. Bajo el enfoque probabilístico (BAYES y VE), que incorpora la información histórica y el pronóstico comercial, la mejor alternativa es "&amp;INDEX($A$24:$A$27,MATCH(MAX($H$24:$H$27),$H$24:$H$27,0))&amp;". En consecuencia, se recomienda priorizar la inversión productiva y comercial en dicha línea de producto, sin descuidar el resto del portafolio para mantener la diversificación de riesgo frente a la incertidumbre de la demanda."</f>
        <v>La alternativa con mayor número de criterios de decisión favorables es Cristal, con 6 de 8 criterios ganados. Bajo el enfoque probabilístico (BAYES y VE), que incorpora la información histórica y el pronóstico comercial, la mejor alternativa es Cristal. En consecuencia, se recomienda priorizar la inversión productiva y comercial en dicha línea de producto, sin descuidar el resto del portafolio para mantener la diversificación de riesgo frente a la incertidumbre de la demanda.</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31:J31"/>
    <mergeCell ref="A39:J39"/>
    <mergeCell ref="A40:J43"/>
    <mergeCell ref="A1:J1"/>
    <mergeCell ref="A2:J2"/>
    <mergeCell ref="A4:J4"/>
    <mergeCell ref="A14:J14"/>
    <mergeCell ref="A21:J21"/>
    <mergeCell ref="A22:D22"/>
    <mergeCell ref="H22:J22"/>
  </mergeCells>
  <printOptions horizontalCentered="1"/>
  <pageMargins bottom="0.4" footer="0.0" header="0.0" left="0.3" right="0.3" top="0.4"/>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29"/>
  </cols>
  <sheetData>
    <row r="4">
      <c r="A4" s="1" t="s">
        <v>1</v>
      </c>
      <c r="B4" s="3"/>
      <c r="C4" s="3"/>
      <c r="D4" s="3"/>
      <c r="E4" s="3"/>
      <c r="F4" s="3"/>
      <c r="G4" s="3"/>
      <c r="H4" s="3"/>
      <c r="I4" s="3"/>
      <c r="J4" s="4"/>
    </row>
    <row r="5">
      <c r="A5" s="6" t="s">
        <v>4</v>
      </c>
      <c r="B5" s="6" t="s">
        <v>6</v>
      </c>
      <c r="C5" s="6" t="s">
        <v>7</v>
      </c>
      <c r="D5" s="6" t="s">
        <v>9</v>
      </c>
    </row>
    <row r="6">
      <c r="A6" s="9" t="s">
        <v>11</v>
      </c>
      <c r="B6" s="11">
        <f>AVERAGEIFS('Datos de Demanda'!$D$14:$D$65,'Datos de Demanda'!$C$14:$C$65,"Baja")</f>
        <v>205.7142857</v>
      </c>
      <c r="C6" s="11">
        <f>AVERAGEIFS('Datos de Demanda'!$D$14:$D$65,'Datos de Demanda'!$C$14:$C$65,"Media")</f>
        <v>245.64</v>
      </c>
      <c r="D6" s="11">
        <f>AVERAGEIFS('Datos de Demanda'!$D$14:$D$65,'Datos de Demanda'!$C$14:$C$65,"Alta")</f>
        <v>266.6153846</v>
      </c>
    </row>
    <row r="7">
      <c r="A7" s="9" t="s">
        <v>33</v>
      </c>
      <c r="B7" s="11">
        <f>AVERAGEIFS('Datos de Demanda'!$E$14:$E$65,'Datos de Demanda'!$C$14:$C$65,"Baja")</f>
        <v>152.9285714</v>
      </c>
      <c r="C7" s="11">
        <f>AVERAGEIFS('Datos de Demanda'!$E$14:$E$65,'Datos de Demanda'!$C$14:$C$65,"Media")</f>
        <v>230.16</v>
      </c>
      <c r="D7" s="11">
        <f>AVERAGEIFS('Datos de Demanda'!$E$14:$E$65,'Datos de Demanda'!$C$14:$C$65,"Alta")</f>
        <v>292.6923077</v>
      </c>
    </row>
    <row r="8">
      <c r="A8" s="9" t="s">
        <v>34</v>
      </c>
      <c r="B8" s="11">
        <f>AVERAGEIFS('Datos de Demanda'!$F$14:$F$65,'Datos de Demanda'!$C$14:$C$65,"Baja")</f>
        <v>69.78571429</v>
      </c>
      <c r="C8" s="11">
        <f>AVERAGEIFS('Datos de Demanda'!$F$14:$F$65,'Datos de Demanda'!$C$14:$C$65,"Media")</f>
        <v>147.56</v>
      </c>
      <c r="D8" s="11">
        <f>AVERAGEIFS('Datos de Demanda'!$F$14:$F$65,'Datos de Demanda'!$C$14:$C$65,"Alta")</f>
        <v>340.7692308</v>
      </c>
    </row>
    <row r="9">
      <c r="A9" s="9" t="s">
        <v>35</v>
      </c>
      <c r="B9" s="11">
        <f>AVERAGEIFS('Datos de Demanda'!$G$14:$G$65,'Datos de Demanda'!$C$14:$C$65,"Baja")</f>
        <v>54.64285714</v>
      </c>
      <c r="C9" s="11">
        <f>AVERAGEIFS('Datos de Demanda'!$G$14:$G$65,'Datos de Demanda'!$C$14:$C$65,"Media")</f>
        <v>96.12</v>
      </c>
      <c r="D9" s="11">
        <f>AVERAGEIFS('Datos de Demanda'!$G$14:$G$65,'Datos de Demanda'!$C$14:$C$65,"Alta")</f>
        <v>182.0769231</v>
      </c>
    </row>
    <row r="11">
      <c r="A11" s="18" t="s">
        <v>37</v>
      </c>
      <c r="B11" s="19">
        <f>'Datos de Demanda'!$C$69</f>
        <v>0.2692307692</v>
      </c>
      <c r="C11" s="19">
        <f>'Datos de Demanda'!$C$70</f>
        <v>0.4807692308</v>
      </c>
      <c r="D11" s="19">
        <f>'Datos de Demanda'!$C$71</f>
        <v>0.25</v>
      </c>
    </row>
    <row r="12">
      <c r="A12" s="18" t="s">
        <v>41</v>
      </c>
      <c r="B12" s="19">
        <f>'Datos de Demanda'!$C$76</f>
        <v>0.2</v>
      </c>
      <c r="C12" s="19">
        <f>'Datos de Demanda'!$C$77</f>
        <v>0.45</v>
      </c>
      <c r="D12" s="19">
        <f>'Datos de Demanda'!$C$78</f>
        <v>0.35</v>
      </c>
    </row>
    <row r="14">
      <c r="A14" s="1" t="s">
        <v>42</v>
      </c>
      <c r="B14" s="3"/>
      <c r="C14" s="3"/>
      <c r="D14" s="3"/>
      <c r="E14" s="3"/>
      <c r="F14" s="3"/>
      <c r="G14" s="3"/>
      <c r="H14" s="3"/>
      <c r="I14" s="3"/>
      <c r="J14" s="4"/>
    </row>
    <row r="15">
      <c r="A15" s="6" t="s">
        <v>4</v>
      </c>
      <c r="B15" s="6" t="s">
        <v>6</v>
      </c>
      <c r="C15" s="6" t="s">
        <v>7</v>
      </c>
      <c r="D15" s="6" t="s">
        <v>9</v>
      </c>
      <c r="E15" s="6" t="s">
        <v>43</v>
      </c>
    </row>
    <row r="16">
      <c r="A16" s="9" t="s">
        <v>11</v>
      </c>
      <c r="B16" s="16">
        <f t="shared" ref="B16:D16" si="1">MAX(B$6:B$9)-B6</f>
        <v>0</v>
      </c>
      <c r="C16" s="16">
        <f t="shared" si="1"/>
        <v>0</v>
      </c>
      <c r="D16" s="16">
        <f t="shared" si="1"/>
        <v>74.15384615</v>
      </c>
      <c r="E16" s="22">
        <f t="shared" ref="E16:E19" si="3">MAX(B16:D16)</f>
        <v>74.15384615</v>
      </c>
      <c r="G16" s="23" t="s">
        <v>49</v>
      </c>
      <c r="K16" s="24" t="s">
        <v>53</v>
      </c>
    </row>
    <row r="17">
      <c r="A17" s="9" t="s">
        <v>33</v>
      </c>
      <c r="B17" s="16">
        <f t="shared" ref="B17:D17" si="2">MAX(B$6:B$9)-B7</f>
        <v>52.78571429</v>
      </c>
      <c r="C17" s="16">
        <f t="shared" si="2"/>
        <v>15.48</v>
      </c>
      <c r="D17" s="16">
        <f t="shared" si="2"/>
        <v>48.07692308</v>
      </c>
      <c r="E17" s="22">
        <f t="shared" si="3"/>
        <v>52.78571429</v>
      </c>
    </row>
    <row r="18">
      <c r="A18" s="9" t="s">
        <v>34</v>
      </c>
      <c r="B18" s="16">
        <f t="shared" ref="B18:D18" si="4">MAX(B$6:B$9)-B8</f>
        <v>135.9285714</v>
      </c>
      <c r="C18" s="16">
        <f t="shared" si="4"/>
        <v>98.08</v>
      </c>
      <c r="D18" s="16">
        <f t="shared" si="4"/>
        <v>0</v>
      </c>
      <c r="E18" s="22">
        <f t="shared" si="3"/>
        <v>135.9285714</v>
      </c>
    </row>
    <row r="19">
      <c r="A19" s="9" t="s">
        <v>35</v>
      </c>
      <c r="B19" s="16">
        <f t="shared" ref="B19:D19" si="5">MAX(B$6:B$9)-B9</f>
        <v>151.0714286</v>
      </c>
      <c r="C19" s="16">
        <f t="shared" si="5"/>
        <v>149.52</v>
      </c>
      <c r="D19" s="16">
        <f t="shared" si="5"/>
        <v>158.6923077</v>
      </c>
      <c r="E19" s="22">
        <f t="shared" si="3"/>
        <v>158.6923077</v>
      </c>
    </row>
    <row r="21">
      <c r="A21" s="1" t="s">
        <v>65</v>
      </c>
      <c r="B21" s="3"/>
      <c r="C21" s="3"/>
      <c r="D21" s="3"/>
      <c r="E21" s="3"/>
      <c r="F21" s="3"/>
      <c r="G21" s="3"/>
      <c r="H21" s="3"/>
      <c r="I21" s="3"/>
      <c r="J21" s="4"/>
    </row>
    <row r="22">
      <c r="A22" s="27" t="s">
        <v>66</v>
      </c>
      <c r="G22" s="28">
        <v>0.6</v>
      </c>
      <c r="H22" s="29" t="s">
        <v>67</v>
      </c>
    </row>
    <row r="23">
      <c r="A23" s="6" t="s">
        <v>4</v>
      </c>
      <c r="B23" s="6" t="s">
        <v>68</v>
      </c>
      <c r="C23" s="6" t="s">
        <v>69</v>
      </c>
      <c r="D23" s="6" t="s">
        <v>70</v>
      </c>
      <c r="E23" s="6" t="s">
        <v>71</v>
      </c>
      <c r="F23" s="6" t="s">
        <v>72</v>
      </c>
      <c r="G23" s="6" t="s">
        <v>73</v>
      </c>
      <c r="H23" s="6" t="s">
        <v>74</v>
      </c>
      <c r="I23" s="6" t="s">
        <v>75</v>
      </c>
    </row>
    <row r="24">
      <c r="A24" s="9" t="s">
        <v>11</v>
      </c>
      <c r="B24" s="16">
        <f t="shared" ref="B24:B27" si="6">AVERAGE(B6:D6)</f>
        <v>239.3232234</v>
      </c>
      <c r="C24" s="16">
        <f t="shared" ref="C24:C27" si="7">MIN(B6:D6)</f>
        <v>205.7142857</v>
      </c>
      <c r="D24" s="16">
        <f t="shared" ref="D24:D27" si="8">MAX(B6:D6)</f>
        <v>266.6153846</v>
      </c>
      <c r="E24" s="16">
        <f t="shared" ref="E24:E27" si="9">E16</f>
        <v>74.15384615</v>
      </c>
      <c r="F24" s="16">
        <f>$G22*MAX(B6:D6)+(1-$G22)*MIN(B6:D6)</f>
        <v>242.2549451</v>
      </c>
      <c r="G24" s="16">
        <f t="shared" ref="G24:G27" si="10">INDEX(B6:D6,MATCH(MAX($B$11:$D$11),$B$11:$D$11,0))</f>
        <v>245.64</v>
      </c>
      <c r="H24" s="31">
        <f t="shared" ref="H24:H27" si="11">SUMPRODUCT(B6:D6,$B$11:$D$11)</f>
        <v>240.1346154</v>
      </c>
      <c r="I24" s="32">
        <f t="shared" ref="I24:I27" si="12">SUMPRODUCT(B6:D6,$B$12:$D$12)</f>
        <v>244.9962418</v>
      </c>
    </row>
    <row r="25">
      <c r="A25" s="9" t="s">
        <v>33</v>
      </c>
      <c r="B25" s="16">
        <f t="shared" si="6"/>
        <v>225.260293</v>
      </c>
      <c r="C25" s="16">
        <f t="shared" si="7"/>
        <v>152.9285714</v>
      </c>
      <c r="D25" s="16">
        <f t="shared" si="8"/>
        <v>292.6923077</v>
      </c>
      <c r="E25" s="16">
        <f t="shared" si="9"/>
        <v>52.78571429</v>
      </c>
      <c r="F25" s="16">
        <f>$G22*MAX(B7:D7)+(1-$G22)*MIN(B7:D7)</f>
        <v>236.7868132</v>
      </c>
      <c r="G25" s="16">
        <f t="shared" si="10"/>
        <v>230.16</v>
      </c>
      <c r="H25" s="16">
        <f t="shared" si="11"/>
        <v>225</v>
      </c>
      <c r="I25" s="16">
        <f t="shared" si="12"/>
        <v>236.600022</v>
      </c>
    </row>
    <row r="26">
      <c r="A26" s="9" t="s">
        <v>34</v>
      </c>
      <c r="B26" s="16">
        <f t="shared" si="6"/>
        <v>186.038315</v>
      </c>
      <c r="C26" s="16">
        <f t="shared" si="7"/>
        <v>69.78571429</v>
      </c>
      <c r="D26" s="16">
        <f t="shared" si="8"/>
        <v>340.7692308</v>
      </c>
      <c r="E26" s="16">
        <f t="shared" si="9"/>
        <v>135.9285714</v>
      </c>
      <c r="F26" s="16">
        <f>$G22*MAX(B8:D8)+(1-$G22)*MIN(B8:D8)</f>
        <v>232.3758242</v>
      </c>
      <c r="G26" s="16">
        <f t="shared" si="10"/>
        <v>147.56</v>
      </c>
      <c r="H26" s="16">
        <f t="shared" si="11"/>
        <v>174.9230769</v>
      </c>
      <c r="I26" s="16">
        <f t="shared" si="12"/>
        <v>199.6283736</v>
      </c>
    </row>
    <row r="27">
      <c r="A27" s="9" t="s">
        <v>35</v>
      </c>
      <c r="B27" s="16">
        <f t="shared" si="6"/>
        <v>110.9465934</v>
      </c>
      <c r="C27" s="16">
        <f t="shared" si="7"/>
        <v>54.64285714</v>
      </c>
      <c r="D27" s="16">
        <f t="shared" si="8"/>
        <v>182.0769231</v>
      </c>
      <c r="E27" s="16">
        <f t="shared" si="9"/>
        <v>158.6923077</v>
      </c>
      <c r="F27" s="16">
        <f>$G22*MAX(B9:D9)+(1-$G22)*MIN(B9:D9)</f>
        <v>131.1032967</v>
      </c>
      <c r="G27" s="16">
        <f t="shared" si="10"/>
        <v>96.12</v>
      </c>
      <c r="H27" s="16">
        <f t="shared" si="11"/>
        <v>106.4423077</v>
      </c>
      <c r="I27" s="16">
        <f t="shared" si="12"/>
        <v>117.9094945</v>
      </c>
    </row>
    <row r="29">
      <c r="E29" s="33" t="s">
        <v>80</v>
      </c>
      <c r="F29" s="33" t="s">
        <v>81</v>
      </c>
      <c r="G29" s="33" t="s">
        <v>82</v>
      </c>
      <c r="H29" s="34" t="s">
        <v>83</v>
      </c>
    </row>
    <row r="30">
      <c r="D30" s="35" t="s">
        <v>84</v>
      </c>
      <c r="E30" s="33">
        <v>245.0</v>
      </c>
      <c r="F30" s="33" t="s">
        <v>81</v>
      </c>
      <c r="G30" s="33">
        <v>240.0</v>
      </c>
      <c r="H30" s="34">
        <v>5.0</v>
      </c>
    </row>
    <row r="32">
      <c r="D32" s="36" t="s">
        <v>85</v>
      </c>
    </row>
  </sheetData>
  <mergeCells count="8">
    <mergeCell ref="A4:J4"/>
    <mergeCell ref="A14:J14"/>
    <mergeCell ref="G16:J18"/>
    <mergeCell ref="K16:Q20"/>
    <mergeCell ref="A21:J21"/>
    <mergeCell ref="A22:D22"/>
    <mergeCell ref="H22:J22"/>
    <mergeCell ref="D32:I3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3">
      <c r="B3" s="17" t="s">
        <v>36</v>
      </c>
      <c r="C3" s="17" t="s">
        <v>11</v>
      </c>
      <c r="D3" s="17" t="s">
        <v>39</v>
      </c>
      <c r="E3" s="17" t="s">
        <v>34</v>
      </c>
      <c r="F3" s="17" t="s">
        <v>40</v>
      </c>
    </row>
    <row r="4">
      <c r="B4" s="20">
        <v>0.0</v>
      </c>
      <c r="C4" s="20">
        <v>206.0</v>
      </c>
      <c r="D4" s="20">
        <v>153.0</v>
      </c>
      <c r="E4" s="20">
        <v>70.0</v>
      </c>
      <c r="F4" s="20">
        <v>55.0</v>
      </c>
    </row>
    <row r="5">
      <c r="B5" s="20">
        <v>1.0</v>
      </c>
      <c r="C5" s="20">
        <v>267.0</v>
      </c>
      <c r="D5" s="20">
        <v>293.0</v>
      </c>
      <c r="E5" s="20">
        <v>341.0</v>
      </c>
      <c r="F5" s="20">
        <v>182.0</v>
      </c>
    </row>
    <row r="37">
      <c r="B37" s="21" t="s">
        <v>36</v>
      </c>
      <c r="C37" s="21" t="s">
        <v>11</v>
      </c>
      <c r="D37" s="21" t="s">
        <v>39</v>
      </c>
      <c r="E37" s="21" t="s">
        <v>34</v>
      </c>
      <c r="F37" s="21" t="s">
        <v>40</v>
      </c>
    </row>
    <row r="38">
      <c r="B38" s="20">
        <v>0.0</v>
      </c>
      <c r="C38" s="20" t="s">
        <v>44</v>
      </c>
      <c r="D38" s="20" t="s">
        <v>45</v>
      </c>
      <c r="E38" s="20">
        <v>124.0</v>
      </c>
      <c r="F38" s="20" t="s">
        <v>46</v>
      </c>
    </row>
    <row r="39">
      <c r="B39" s="20" t="s">
        <v>47</v>
      </c>
      <c r="C39" s="20" t="s">
        <v>48</v>
      </c>
      <c r="D39" s="20" t="s">
        <v>50</v>
      </c>
      <c r="E39" s="20" t="s">
        <v>51</v>
      </c>
      <c r="F39" s="20" t="s">
        <v>52</v>
      </c>
    </row>
    <row r="40">
      <c r="B40" s="25" t="s">
        <v>55</v>
      </c>
      <c r="C40" s="20" t="s">
        <v>57</v>
      </c>
      <c r="D40" s="20" t="s">
        <v>57</v>
      </c>
      <c r="E40" s="20" t="s">
        <v>58</v>
      </c>
      <c r="F40" s="20" t="s">
        <v>59</v>
      </c>
    </row>
    <row r="41">
      <c r="B41" s="25" t="s">
        <v>60</v>
      </c>
      <c r="C41" s="20" t="s">
        <v>61</v>
      </c>
      <c r="D41" s="20" t="s">
        <v>62</v>
      </c>
      <c r="E41" s="20" t="s">
        <v>63</v>
      </c>
      <c r="F41" s="20" t="s">
        <v>64</v>
      </c>
    </row>
    <row r="42">
      <c r="B42" s="20">
        <v>1.0</v>
      </c>
      <c r="C42" s="20">
        <v>267.0</v>
      </c>
      <c r="D42" s="20">
        <v>293.0</v>
      </c>
      <c r="E42" s="20">
        <v>341.0</v>
      </c>
      <c r="F42" s="20">
        <v>182.0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2026-09-06T18:54:02Z</dcterms:created>
  <dc:creator>openpyxl</dc:creator>
</cp:coreProperties>
</file>