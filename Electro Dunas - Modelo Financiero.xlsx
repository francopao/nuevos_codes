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4.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xl/comments6.xml" ContentType="application/vnd.openxmlformats-officedocument.spreadsheetml.comments+xml"/>
  <Override PartName="/xl/comments8.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lujo de Caja" sheetId="1" state="visible" r:id="rId3"/>
    <sheet name="Situacion Financiera" sheetId="2" state="visible" r:id="rId4"/>
    <sheet name="Resultados" sheetId="3" state="visible" r:id="rId5"/>
    <sheet name="Trimestres" sheetId="4" state="visible" r:id="rId6"/>
    <sheet name="Capital de Trabajo" sheetId="5" state="visible" r:id="rId7"/>
    <sheet name="Deuda" sheetId="6" state="visible" r:id="rId8"/>
    <sheet name="Activo Fijo" sheetId="7" state="visible" r:id="rId9"/>
    <sheet name="Indicadores" sheetId="8" state="visible" r:id="rId10"/>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54" authorId="0">
      <text>
        <r>
          <rPr>
            <sz val="10"/>
            <rFont val="Arial"/>
            <family val="2"/>
          </rPr>
          <t xml:space="preserve">Saldo de efectivo al 1 de enero de 2022, EEFF 2023 (columna comparativa 2022).</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B6" authorId="0">
      <text>
        <r>
          <rPr>
            <sz val="10"/>
            <rFont val="Arial"/>
            <family val="2"/>
          </rPr>
          <t xml:space="preserve">Calculado a partir de las cifras comparativas de 2024 reveladas en los EEFF intermedios 1T, 2T y 3T 2025 de Electro Dunas (columnas 'de 2024').</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B16" authorId="0">
      <text>
        <r>
          <rPr>
            <sz val="10"/>
            <rFont val="Arial"/>
            <family val="2"/>
          </rPr>
          <t xml:space="preserve">El detalle por acreedor de la Nota 19 al 30/06/2026 (EEFF Intermedios 2T 2026, pagina 45) suma S/ 70,000 miles en creditos nuevos de corto plazo, pero el propio subtotal que reporta esa nota para la columna 30/06/2026 es S/ 270,000 miles, cifra que concilia con el Estado de Situacion Financiera. La diferencia de S/ 200,000 miles no esta desagregada por acreedor en la nota tal como fue publicada; se deja como partida residual para no alterar el total informado.</t>
        </r>
      </text>
    </comment>
    <comment ref="B34" authorId="0">
      <text>
        <r>
          <rPr>
            <sz val="10"/>
            <rFont val="Arial"/>
            <family val="2"/>
          </rPr>
          <t xml:space="preserve">Fuente: EEFF 2025 (auditado), Nota 19 literal c, pagina 46, para las columnas 2024 y 2025; EEFF Intermedios 2T 2026, Nota 19 literal c, pagina 46, para la columna 2T 2026.</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B5" authorId="0">
      <text>
        <r>
          <rPr>
            <sz val="10"/>
            <rFont val="Arial"/>
            <family val="2"/>
          </rPr>
          <t xml:space="preserve">Fuente: EEFF 2025 (auditado), Nota 12, pagina 38, para 2024 y 2025; EEFF Intermedios 2T 2026, Nota 12, pagina 37, para el periodo de seis meses terminado el 30 de junio de 2026.</t>
        </r>
      </text>
    </comment>
    <comment ref="B54" authorId="0">
      <text>
        <r>
          <rPr>
            <sz val="10"/>
            <rFont val="Arial"/>
            <family val="2"/>
          </rPr>
          <t xml:space="preserve">Fuente: EEFF 2025 (auditado), Nota 13, paginas 40-41, para 2024 y 2025; EEFF Intermedios 2T 2026, Nota 13, paginas 38-39, para el periodo de seis meses terminado el 30 de junio de 2026. La baja de costo de miles de S/ 1,834 en 2024 agrupa las lineas "Deducciones" y "Bajas" que la nota presenta por separado.</t>
        </r>
      </text>
    </comment>
    <comment ref="B103" authorId="0">
      <text>
        <r>
          <rPr>
            <sz val="10"/>
            <rFont val="Arial"/>
            <family val="2"/>
          </rPr>
          <t xml:space="preserve">Fuente: EEFF 2025 (auditado), Nota 14, pagina 42, para 2024 y 2025; EEFF Intermedios 2T 2026, Nota 14, pagina 40, para el periodo de seis meses terminado el 30 de junio de 2026. La nota no revela bajas de activos intangibles en ninguno de los periodos presentados.</t>
        </r>
      </text>
    </comment>
    <comment ref="B149" authorId="0">
      <text>
        <r>
          <rPr>
            <sz val="10"/>
            <rFont val="Arial"/>
            <family val="2"/>
          </rPr>
          <t xml:space="preserve">La depreciacion combina lo revelado en la Nota 12(a) (PP&amp;E) y la Nota 13(b) (activos por derecho de uso), que el Estado de Flujos de Efectivo presenta en una sola linea. La amortizacion corresponde integramente a la Nota 14(a) (activos intangibles).</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B4" authorId="0">
      <text>
        <r>
          <rPr>
            <sz val="10"/>
            <rFont val="Arial"/>
            <family val="2"/>
          </rPr>
          <t xml:space="preserve">El EBITDA LTM y la utilidad neta LTM de las columnas anuales toman directamente el valor de la hoja Resultados (ya cubre 12 meses). Para las columnas trimestrales, se suman los cuatro trimestres aislados mas recientes de la hoja Trimestres para obtener una cifra comparable de doce meses moviles.</t>
        </r>
      </text>
    </comment>
  </commentList>
</comments>
</file>

<file path=xl/sharedStrings.xml><?xml version="1.0" encoding="utf-8"?>
<sst xmlns="http://schemas.openxmlformats.org/spreadsheetml/2006/main" count="543" uniqueCount="291">
  <si>
    <t xml:space="preserve">Electro Dunas S.A.A. - Estado de Flujos de Efectivo</t>
  </si>
  <si>
    <t xml:space="preserve">Metodo indirecto, cifras acumuladas desde el 1 de enero de cada ano, en miles de soles. Fuente: nota de flujos de efectivo de cada EEFF.</t>
  </si>
  <si>
    <t xml:space="preserve">En miles de soles</t>
  </si>
  <si>
    <t xml:space="preserve">2022</t>
  </si>
  <si>
    <t xml:space="preserve">2023</t>
  </si>
  <si>
    <t xml:space="preserve">2024</t>
  </si>
  <si>
    <t xml:space="preserve">1T 2025</t>
  </si>
  <si>
    <t xml:space="preserve">2T 2025 (6M)</t>
  </si>
  <si>
    <t xml:space="preserve">3T 2025 (9M)</t>
  </si>
  <si>
    <t xml:space="preserve">2025</t>
  </si>
  <si>
    <t xml:space="preserve">1T 2026</t>
  </si>
  <si>
    <t xml:space="preserve">2T 2026 (6M)</t>
  </si>
  <si>
    <t xml:space="preserve">3T 2026 (9M)  (proyectado)</t>
  </si>
  <si>
    <t xml:space="preserve">2026  (proyectado)</t>
  </si>
  <si>
    <t xml:space="preserve">1T 2027  (proyectado)</t>
  </si>
  <si>
    <t xml:space="preserve">2T 2027 (6M)  (proyectado)</t>
  </si>
  <si>
    <t xml:space="preserve">3T 2027 (9M)  (proyectado)</t>
  </si>
  <si>
    <t xml:space="preserve">2027  (proyectado)</t>
  </si>
  <si>
    <t xml:space="preserve">Actividades de operacion</t>
  </si>
  <si>
    <t xml:space="preserve">Utilidad neta del periodo</t>
  </si>
  <si>
    <t xml:space="preserve">(+) Impuesto a las ganancias</t>
  </si>
  <si>
    <t xml:space="preserve">(+) Estimacion de perdida esperada de CxC</t>
  </si>
  <si>
    <t xml:space="preserve">(+) Desvalorizacion de inventarios</t>
  </si>
  <si>
    <t xml:space="preserve">(+) Depreciacion</t>
  </si>
  <si>
    <t xml:space="preserve">(+) Amortizacion</t>
  </si>
  <si>
    <t xml:space="preserve">(+/-) Estimaciones (reversiones) de provisiones</t>
  </si>
  <si>
    <t xml:space="preserve">(+) Baja de PP&amp;E e intangibles</t>
  </si>
  <si>
    <t xml:space="preserve">(-) Ingresos financieros</t>
  </si>
  <si>
    <t xml:space="preserve">(+) Gastos financieros</t>
  </si>
  <si>
    <t xml:space="preserve">(+/-) Perdida (ganancia) por diferencia de cambio</t>
  </si>
  <si>
    <t xml:space="preserve">Cambios en activos y pasivos operativos</t>
  </si>
  <si>
    <t xml:space="preserve">Var. cuentas por cobrar comerciales</t>
  </si>
  <si>
    <t xml:space="preserve">Var. cuentas por cobrar a relacionadas</t>
  </si>
  <si>
    <t xml:space="preserve">Var. otras cuentas por cobrar</t>
  </si>
  <si>
    <t xml:space="preserve">Var. inventarios</t>
  </si>
  <si>
    <t xml:space="preserve">Var. otros activos no financieros</t>
  </si>
  <si>
    <t xml:space="preserve">Var. cuentas por pagar comerciales</t>
  </si>
  <si>
    <t xml:space="preserve">Var. cuentas por pagar a relacionadas</t>
  </si>
  <si>
    <t xml:space="preserve">Var. pasivo por arrendamiento (NIIF 16)</t>
  </si>
  <si>
    <t xml:space="preserve">Var. otras cuentas por pagar</t>
  </si>
  <si>
    <t xml:space="preserve">Efectivo generado por operaciones</t>
  </si>
  <si>
    <t xml:space="preserve">Intereses cobrados</t>
  </si>
  <si>
    <t xml:space="preserve">Impuesto a las ganancias pagado</t>
  </si>
  <si>
    <t xml:space="preserve">Flujo neto de actividades de operacion</t>
  </si>
  <si>
    <t xml:space="preserve">Actividades de inversion</t>
  </si>
  <si>
    <t xml:space="preserve">Adquisicion de propiedad, planta y equipo</t>
  </si>
  <si>
    <t xml:space="preserve">Adquisicion de activos intangibles</t>
  </si>
  <si>
    <t xml:space="preserve">Prestamos otorgados a entidades relacionadas</t>
  </si>
  <si>
    <t xml:space="preserve">Devolucion de prestamos otorgados a relacionadas</t>
  </si>
  <si>
    <t xml:space="preserve">Flujo neto de actividades de inversion</t>
  </si>
  <si>
    <t xml:space="preserve">Actividades de financiamiento</t>
  </si>
  <si>
    <t xml:space="preserve">Ingreso de deudas y prestamos que devengan interes</t>
  </si>
  <si>
    <t xml:space="preserve">Obtencion de prestamos de entidades relacionadas</t>
  </si>
  <si>
    <t xml:space="preserve">Pago de pasivo por arrendamiento (NIIF 16)</t>
  </si>
  <si>
    <t xml:space="preserve">Pago de deudas y prestamos que devengan interes</t>
  </si>
  <si>
    <t xml:space="preserve">Pago de deuda concursal</t>
  </si>
  <si>
    <t xml:space="preserve">Pago de contribuciones reembolsables</t>
  </si>
  <si>
    <t xml:space="preserve">Pago de intereses de prestamos</t>
  </si>
  <si>
    <t xml:space="preserve">Pagos de arrendamientos financieros</t>
  </si>
  <si>
    <t xml:space="preserve">Dividendos pagados a accionistas</t>
  </si>
  <si>
    <t xml:space="preserve">Flujo neto de actividades de financiamiento</t>
  </si>
  <si>
    <t xml:space="preserve">Aumento (disminucion) neta de efectivo</t>
  </si>
  <si>
    <t xml:space="preserve">Efectivo al inicio del periodo</t>
  </si>
  <si>
    <t xml:space="preserve">Efecto de variacion del tipo de cambio sobre el efectivo</t>
  </si>
  <si>
    <t xml:space="preserve">Efectivo al final del periodo</t>
  </si>
  <si>
    <t xml:space="preserve">Control: Efectivo (Flujo) vs Efectivo (Situacion Financiera)</t>
  </si>
  <si>
    <t xml:space="preserve">Electro Dunas S.A.A. - Estado de Situacion Financiera</t>
  </si>
  <si>
    <t xml:space="preserve">Saldos a la fecha de cierre de cada periodo, en miles de soles.</t>
  </si>
  <si>
    <t xml:space="preserve">Activo</t>
  </si>
  <si>
    <t xml:space="preserve">Efectivo</t>
  </si>
  <si>
    <t xml:space="preserve">Cuentas por cobrar comerciales</t>
  </si>
  <si>
    <t xml:space="preserve">Cuentas por cobrar a relacionadas</t>
  </si>
  <si>
    <t xml:space="preserve">Otras cuentas por cobrar</t>
  </si>
  <si>
    <t xml:space="preserve">Inventarios</t>
  </si>
  <si>
    <t xml:space="preserve">Otros activos no financieros</t>
  </si>
  <si>
    <t xml:space="preserve">Total activos corrientes</t>
  </si>
  <si>
    <t xml:space="preserve">Activo no corriente</t>
  </si>
  <si>
    <t xml:space="preserve">Otras cuentas por cobrar, neto</t>
  </si>
  <si>
    <t xml:space="preserve">Propiedad, planta y equipo</t>
  </si>
  <si>
    <t xml:space="preserve">Activo por derecho de uso</t>
  </si>
  <si>
    <t xml:space="preserve">Activos intangibles</t>
  </si>
  <si>
    <t xml:space="preserve">Total activos no corrientes</t>
  </si>
  <si>
    <t xml:space="preserve">TOTAL ACTIVOS</t>
  </si>
  <si>
    <t xml:space="preserve">Pasivo</t>
  </si>
  <si>
    <t xml:space="preserve">Pasivo corriente</t>
  </si>
  <si>
    <t xml:space="preserve">Otros pasivos financieros</t>
  </si>
  <si>
    <t xml:space="preserve">Pasivo por arrendamiento</t>
  </si>
  <si>
    <t xml:space="preserve">Cuentas por pagar comerciales</t>
  </si>
  <si>
    <t xml:space="preserve">Cuentas por pagar a relacionadas</t>
  </si>
  <si>
    <t xml:space="preserve">Pasivos por impuesto a las ganancias</t>
  </si>
  <si>
    <t xml:space="preserve">Provision para beneficio de empleados</t>
  </si>
  <si>
    <t xml:space="preserve">Otras cuentas por pagar</t>
  </si>
  <si>
    <t xml:space="preserve">Provisiones</t>
  </si>
  <si>
    <t xml:space="preserve">Total pasivos corrientes</t>
  </si>
  <si>
    <t xml:space="preserve">Pasivo no corriente</t>
  </si>
  <si>
    <t xml:space="preserve">Pasivos por impuestos diferidos</t>
  </si>
  <si>
    <t xml:space="preserve">Beneficios a los empleados</t>
  </si>
  <si>
    <t xml:space="preserve">Total pasivos no corrientes</t>
  </si>
  <si>
    <t xml:space="preserve">TOTAL PASIVOS</t>
  </si>
  <si>
    <t xml:space="preserve">Patrimonio</t>
  </si>
  <si>
    <t xml:space="preserve">Capital emitido</t>
  </si>
  <si>
    <t xml:space="preserve">Prima de emision de acciones</t>
  </si>
  <si>
    <t xml:space="preserve">Otras reservas de capital</t>
  </si>
  <si>
    <t xml:space="preserve">Resultados acumulados</t>
  </si>
  <si>
    <t xml:space="preserve">TOTAL PATRIMONIO</t>
  </si>
  <si>
    <t xml:space="preserve">TOTAL PASIVO Y PATRIMONIO</t>
  </si>
  <si>
    <t xml:space="preserve">Control: Activos - (Pasivo + Patrimonio), debe ser 0</t>
  </si>
  <si>
    <t xml:space="preserve">Electro Dunas S.A.A. - Estado de Resultados</t>
  </si>
  <si>
    <t xml:space="preserve">Cifras acumuladas desde el 1 de enero de cada ano, en miles de soles, tal como las reporta la Companhia. Columnas en amarillo: pendientes de completar.</t>
  </si>
  <si>
    <t xml:space="preserve">Ingresos por servicio de distribucion de energia</t>
  </si>
  <si>
    <t xml:space="preserve">Otros ingresos operativos</t>
  </si>
  <si>
    <t xml:space="preserve">Total ingresos operativos</t>
  </si>
  <si>
    <t xml:space="preserve">Costo de servicio de distribucion de energia</t>
  </si>
  <si>
    <t xml:space="preserve">Otros costos operativos</t>
  </si>
  <si>
    <t xml:space="preserve">Total costos operativos</t>
  </si>
  <si>
    <t xml:space="preserve">Utilidad bruta</t>
  </si>
  <si>
    <t xml:space="preserve">  Margen bruto</t>
  </si>
  <si>
    <t xml:space="preserve">Gastos de comercializacion</t>
  </si>
  <si>
    <t xml:space="preserve">Gastos de administracion</t>
  </si>
  <si>
    <t xml:space="preserve">Perdida por deterioro de cuentas por cobrar</t>
  </si>
  <si>
    <t xml:space="preserve">Otros ingresos</t>
  </si>
  <si>
    <t xml:space="preserve">Otros gastos</t>
  </si>
  <si>
    <t xml:space="preserve">Total gastos operativos</t>
  </si>
  <si>
    <t xml:space="preserve">Utilidad operativa (EBIT)</t>
  </si>
  <si>
    <t xml:space="preserve">  Margen operativo</t>
  </si>
  <si>
    <t xml:space="preserve">(+) Depreciacion y amortizacion del periodo</t>
  </si>
  <si>
    <t xml:space="preserve">EBITDA</t>
  </si>
  <si>
    <t xml:space="preserve">  Margen EBITDA</t>
  </si>
  <si>
    <t xml:space="preserve">Ingresos financieros</t>
  </si>
  <si>
    <t xml:space="preserve">Gastos financieros</t>
  </si>
  <si>
    <t xml:space="preserve">Diferencia de cambio, neta</t>
  </si>
  <si>
    <t xml:space="preserve">Costo financiero neto</t>
  </si>
  <si>
    <t xml:space="preserve">Utilidad antes de impuesto a las ganancias</t>
  </si>
  <si>
    <t xml:space="preserve">Gasto por impuesto a las ganancias</t>
  </si>
  <si>
    <t xml:space="preserve">Utilidad neta</t>
  </si>
  <si>
    <t xml:space="preserve">  Margen neto</t>
  </si>
  <si>
    <t xml:space="preserve">Control: Utilidad neta (Resultados) vs Utilidad neta (Flujo de Caja), debe ser 0</t>
  </si>
  <si>
    <t xml:space="preserve">Utilidad neta por accion basica y diluida (S/)</t>
  </si>
  <si>
    <t xml:space="preserve">Electro Dunas S.A.A. - Trimestre Aislado (no acumulado)</t>
  </si>
  <si>
    <t xml:space="preserve">Cada trimestre calculado como la diferencia entre acumulados consecutivos (2T-1T, 3T-2T, 4T-3T). En miles de soles.</t>
  </si>
  <si>
    <t xml:space="preserve">Datos base 2024 - acumulado desde el 1 de enero (columnas comparativas de los EEFF intermedios 1T/2T/3T 2025)</t>
  </si>
  <si>
    <t xml:space="preserve">3M24</t>
  </si>
  <si>
    <t xml:space="preserve">6M24</t>
  </si>
  <si>
    <t xml:space="preserve">9M24</t>
  </si>
  <si>
    <t xml:space="preserve">Ingresos totales operativos</t>
  </si>
  <si>
    <t xml:space="preserve">Flujo neto de operacion</t>
  </si>
  <si>
    <t xml:space="preserve">Capex (PP&amp;E + intangibles)</t>
  </si>
  <si>
    <t xml:space="preserve">FY2024 (acumulado 12 meses, hoja Resultados/Flujo de Caja)</t>
  </si>
  <si>
    <t xml:space="preserve">1T 2024</t>
  </si>
  <si>
    <t xml:space="preserve">2T 2024</t>
  </si>
  <si>
    <t xml:space="preserve">3T 2024</t>
  </si>
  <si>
    <t xml:space="preserve">4T 2024</t>
  </si>
  <si>
    <t xml:space="preserve">2T 2025</t>
  </si>
  <si>
    <t xml:space="preserve">3T 2025</t>
  </si>
  <si>
    <t xml:space="preserve">4T 2025</t>
  </si>
  <si>
    <t xml:space="preserve">2T 2026</t>
  </si>
  <si>
    <t xml:space="preserve">3T 2026  (proyectado)</t>
  </si>
  <si>
    <t xml:space="preserve">4T 2026  (proyectado)</t>
  </si>
  <si>
    <t xml:space="preserve">Flujo de caja libre (operativo + capex)</t>
  </si>
  <si>
    <t xml:space="preserve">Electro Dunas S.A.A. - Capital de Trabajo</t>
  </si>
  <si>
    <t xml:space="preserve">Partidas operativas del Estado de Situacion Financiera, en miles de soles. Los dias se calculan sobre el periodo acumulado de cada columna.</t>
  </si>
  <si>
    <t xml:space="preserve">Otras cuentas por cobrar operativas (relacionadas + otras)</t>
  </si>
  <si>
    <t xml:space="preserve">Total activo corriente operativo</t>
  </si>
  <si>
    <t xml:space="preserve">Otras cuentas por pagar operativas (relacionadas + otras + provisiones)</t>
  </si>
  <si>
    <t xml:space="preserve">Total pasivo corriente operativo</t>
  </si>
  <si>
    <t xml:space="preserve">Capital de trabajo neto operativo</t>
  </si>
  <si>
    <t xml:space="preserve">  Variacion vs. periodo anterior</t>
  </si>
  <si>
    <t xml:space="preserve">Dias de cobro (DSO)</t>
  </si>
  <si>
    <t xml:space="preserve">Dias de inventario (DIO)</t>
  </si>
  <si>
    <t xml:space="preserve">Dias de pago (DPO)</t>
  </si>
  <si>
    <t xml:space="preserve">Ciclo de conversion de efectivo (DSO+DIO-DPO)</t>
  </si>
  <si>
    <t xml:space="preserve">Electro Dunas S.A.A. - Deuda Financiera</t>
  </si>
  <si>
    <t xml:space="preserve">Detalle de acreedores y vencimientos contractuales de los otros pasivos financieros, en miles de soles. Fuente: Nota 19 de los EEFF auditados e intermedios.</t>
  </si>
  <si>
    <t xml:space="preserve">Acreedor / instrumento</t>
  </si>
  <si>
    <t xml:space="preserve">Tipo</t>
  </si>
  <si>
    <t xml:space="preserve">Moneda</t>
  </si>
  <si>
    <t xml:space="preserve">Tasa de interes</t>
  </si>
  <si>
    <t xml:space="preserve">Tasa efectiva</t>
  </si>
  <si>
    <t xml:space="preserve">Vencimiento</t>
  </si>
  <si>
    <t xml:space="preserve">Deuda corriente</t>
  </si>
  <si>
    <t xml:space="preserve">Banco BBVA Peru</t>
  </si>
  <si>
    <t xml:space="preserve">Credito corto plazo</t>
  </si>
  <si>
    <t xml:space="preserve">Sol</t>
  </si>
  <si>
    <t xml:space="preserve">Noviembre 2025</t>
  </si>
  <si>
    <t xml:space="preserve">Bonos corporativos - Segunda emision</t>
  </si>
  <si>
    <t xml:space="preserve">Bono corporativo</t>
  </si>
  <si>
    <t xml:space="preserve">Diciembre 2025</t>
  </si>
  <si>
    <t xml:space="preserve">Banco de Credito del Peru</t>
  </si>
  <si>
    <t xml:space="preserve">Setiembre 2026</t>
  </si>
  <si>
    <t xml:space="preserve">Octubre 2026</t>
  </si>
  <si>
    <t xml:space="preserve">Banco BCI</t>
  </si>
  <si>
    <t xml:space="preserve">Banco GNB</t>
  </si>
  <si>
    <t xml:space="preserve">Marzo 2026</t>
  </si>
  <si>
    <t xml:space="preserve">Marzo 2027</t>
  </si>
  <si>
    <t xml:space="preserve">Abril 2027</t>
  </si>
  <si>
    <t xml:space="preserve">Banco Pichincha</t>
  </si>
  <si>
    <t xml:space="preserve">Diciembre 2026</t>
  </si>
  <si>
    <t xml:space="preserve">Partida de corto plazo sin desagregar por acreedor</t>
  </si>
  <si>
    <t xml:space="preserve">Subtotal principal</t>
  </si>
  <si>
    <t xml:space="preserve">Intereses por pagar</t>
  </si>
  <si>
    <t xml:space="preserve">Costos de transaccion - bonos corporativos</t>
  </si>
  <si>
    <t xml:space="preserve">Total otros pasivos financieros corrientes</t>
  </si>
  <si>
    <t xml:space="preserve">Deuda no corriente</t>
  </si>
  <si>
    <t xml:space="preserve">Credito mediano plazo</t>
  </si>
  <si>
    <t xml:space="preserve">Junio 2027</t>
  </si>
  <si>
    <t xml:space="preserve">Bonos corporativos - Primera emision</t>
  </si>
  <si>
    <t xml:space="preserve">Diciembre 2030</t>
  </si>
  <si>
    <t xml:space="preserve">Total otros pasivos financieros no corrientes</t>
  </si>
  <si>
    <t xml:space="preserve">Deuda bruta total (corriente + no corriente)</t>
  </si>
  <si>
    <t xml:space="preserve">Control: Deuda total (hoja) - Deuda total (Situacion Financiera), debe ser 0</t>
  </si>
  <si>
    <t xml:space="preserve">Vencimientos contractuales (Nota 19, literal c)</t>
  </si>
  <si>
    <t xml:space="preserve">2026</t>
  </si>
  <si>
    <t xml:space="preserve">2027</t>
  </si>
  <si>
    <t xml:space="preserve">2030</t>
  </si>
  <si>
    <t xml:space="preserve">Total vencimientos</t>
  </si>
  <si>
    <t xml:space="preserve">Control: Total vencimientos - Deuda bruta total, debe ser 0</t>
  </si>
  <si>
    <t xml:space="preserve">Electro Dunas S.A.A. - Activo Fijo</t>
  </si>
  <si>
    <t xml:space="preserve">Movimiento de propiedad, planta y equipo, activos por derecho de uso y activos intangibles, en miles de soles. Fuente: Notas 12, 13 y 14 de los EEFF auditados e intermedios.</t>
  </si>
  <si>
    <t xml:space="preserve">Propiedad, planta y equipo (Nota 12)</t>
  </si>
  <si>
    <t xml:space="preserve">Ano 2024</t>
  </si>
  <si>
    <t xml:space="preserve">Terrenos</t>
  </si>
  <si>
    <t xml:space="preserve">Edificios y otras construcciones</t>
  </si>
  <si>
    <t xml:space="preserve">Maquinaria y equipo</t>
  </si>
  <si>
    <t xml:space="preserve">Unidades de transporte</t>
  </si>
  <si>
    <t xml:space="preserve">Muebles y enseres</t>
  </si>
  <si>
    <t xml:space="preserve">Equipos diversos y de computo</t>
  </si>
  <si>
    <t xml:space="preserve">Unidades de reemplazo</t>
  </si>
  <si>
    <t xml:space="preserve">Obras en curso</t>
  </si>
  <si>
    <t xml:space="preserve">Total</t>
  </si>
  <si>
    <t xml:space="preserve">Saldo al inicio del periodo</t>
  </si>
  <si>
    <t xml:space="preserve">(+) Adiciones</t>
  </si>
  <si>
    <t xml:space="preserve">(+/-) Transferencias</t>
  </si>
  <si>
    <t xml:space="preserve">(-) Bajas</t>
  </si>
  <si>
    <t xml:space="preserve">Saldo al final del periodo (costo)</t>
  </si>
  <si>
    <t xml:space="preserve">(-) Adiciones (depreciacion / amortizacion del periodo)</t>
  </si>
  <si>
    <t xml:space="preserve">(+) Bajas</t>
  </si>
  <si>
    <t xml:space="preserve">Saldo al final del periodo (depreciacion / amortizacion acumulada)</t>
  </si>
  <si>
    <t xml:space="preserve">Valor neto en libros</t>
  </si>
  <si>
    <t xml:space="preserve">Control: valor neto (hoja) - PP&amp;E (Situacion Financiera), debe ser 0</t>
  </si>
  <si>
    <t xml:space="preserve">Ano 2025</t>
  </si>
  <si>
    <t xml:space="preserve">6 meses terminados el 30 de junio de 2026</t>
  </si>
  <si>
    <t xml:space="preserve">Activos por derecho de uso (Nota 13)</t>
  </si>
  <si>
    <t xml:space="preserve">Edificios</t>
  </si>
  <si>
    <t xml:space="preserve">Vehiculos</t>
  </si>
  <si>
    <t xml:space="preserve">Equipos diversos</t>
  </si>
  <si>
    <t xml:space="preserve">Control: valor neto (hoja) - Activo por derecho de uso (Situacion Financiera), debe ser 0</t>
  </si>
  <si>
    <t xml:space="preserve">Activos intangibles (Nota 14)</t>
  </si>
  <si>
    <t xml:space="preserve">Licencias</t>
  </si>
  <si>
    <t xml:space="preserve">Derechos</t>
  </si>
  <si>
    <t xml:space="preserve">Programas de computo</t>
  </si>
  <si>
    <t xml:space="preserve">Programas en desarrollo</t>
  </si>
  <si>
    <t xml:space="preserve">Control: valor neto (hoja) - Activos intangibles (Situacion Financiera), debe ser 0</t>
  </si>
  <si>
    <t xml:space="preserve">Depreciacion y amortizacion por funcion - conciliacion con Flujo de Caja</t>
  </si>
  <si>
    <t xml:space="preserve">1S 2026</t>
  </si>
  <si>
    <t xml:space="preserve">Depreciacion - Costo del servicio de distribucion de energia</t>
  </si>
  <si>
    <t xml:space="preserve">Depreciacion - Gastos de administracion</t>
  </si>
  <si>
    <t xml:space="preserve">Depreciacion - Gastos de comercializacion</t>
  </si>
  <si>
    <t xml:space="preserve">Total depreciacion (PP&amp;E + Activos por derecho de uso)</t>
  </si>
  <si>
    <t xml:space="preserve">Depreciacion segun Estado de Flujos de Efectivo</t>
  </si>
  <si>
    <t xml:space="preserve">Control: diferencia, debe ser 0</t>
  </si>
  <si>
    <t xml:space="preserve">Amortizacion - Costo del servicio de distribucion de energia</t>
  </si>
  <si>
    <t xml:space="preserve">Amortizacion - Gastos de comercializacion</t>
  </si>
  <si>
    <t xml:space="preserve">Amortizacion - Gastos de administracion</t>
  </si>
  <si>
    <t xml:space="preserve">Amortizacion - Otros costos operativos</t>
  </si>
  <si>
    <t xml:space="preserve">Total amortizacion (Activos intangibles)</t>
  </si>
  <si>
    <t xml:space="preserve">Amortizacion segun Estado de Flujos de Efectivo</t>
  </si>
  <si>
    <t xml:space="preserve">Electro Dunas S.A.A. - Indicadores Financieros</t>
  </si>
  <si>
    <t xml:space="preserve">Ratios de liquidez, apalancamiento, cobertura y rentabilidad. El EBITDA y la utilidad neta de las columnas trimestrales se anualizan sumando los cuatro trimestres aislados moviles de la hoja Trimestres (LTM). En miles de soles salvo donde se indique.</t>
  </si>
  <si>
    <t xml:space="preserve">Liquidez</t>
  </si>
  <si>
    <t xml:space="preserve">Ratio corriente</t>
  </si>
  <si>
    <t xml:space="preserve">Prueba acida (efectivo + CxC comerciales / pasivo corriente)</t>
  </si>
  <si>
    <t xml:space="preserve">Endeudamiento y apalancamiento</t>
  </si>
  <si>
    <t xml:space="preserve">Deuda financiera bruta</t>
  </si>
  <si>
    <t xml:space="preserve">Deuda financiera neta</t>
  </si>
  <si>
    <t xml:space="preserve">EBITDA LTM (ultimos 12 meses)</t>
  </si>
  <si>
    <t xml:space="preserve">Deuda bruta / EBITDA LTM</t>
  </si>
  <si>
    <t xml:space="preserve">Deuda neta / EBITDA LTM</t>
  </si>
  <si>
    <t xml:space="preserve">Deuda bruta / Patrimonio</t>
  </si>
  <si>
    <t xml:space="preserve">Pasivo total / Patrimonio</t>
  </si>
  <si>
    <t xml:space="preserve">Pasivo total / Activo total</t>
  </si>
  <si>
    <t xml:space="preserve">Cobertura (cifras del periodo acumulado, no anualizadas)</t>
  </si>
  <si>
    <t xml:space="preserve">EBIT / Gastos financieros</t>
  </si>
  <si>
    <t xml:space="preserve">EBITDA / Gastos financieros</t>
  </si>
  <si>
    <t xml:space="preserve">Rentabilidad</t>
  </si>
  <si>
    <t xml:space="preserve">Margen bruto</t>
  </si>
  <si>
    <t xml:space="preserve">Margen operativo (EBIT)</t>
  </si>
  <si>
    <t xml:space="preserve">Margen EBITDA</t>
  </si>
  <si>
    <t xml:space="preserve">Margen neto</t>
  </si>
  <si>
    <t xml:space="preserve">Utilidad neta LTM (ultimos 12 meses)</t>
  </si>
  <si>
    <t xml:space="preserve">ROE (Utilidad neta LTM / Patrimonio)</t>
  </si>
  <si>
    <t xml:space="preserve">ROA (Utilidad neta LTM / Activo total)</t>
  </si>
</sst>
</file>

<file path=xl/styles.xml><?xml version="1.0" encoding="utf-8"?>
<styleSheet xmlns="http://schemas.openxmlformats.org/spreadsheetml/2006/main">
  <numFmts count="7">
    <numFmt numFmtId="164" formatCode="General"/>
    <numFmt numFmtId="165" formatCode="#,##0;\(#,##0\);\-"/>
    <numFmt numFmtId="166" formatCode="0.0%;\(0.0%\);\-"/>
    <numFmt numFmtId="167" formatCode="0.000"/>
    <numFmt numFmtId="168" formatCode="#,##0.0;\(#,##0.0\);\-"/>
    <numFmt numFmtId="169" formatCode="0.00%"/>
    <numFmt numFmtId="170" formatCode="0.00\x"/>
  </numFmts>
  <fonts count="16">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10"/>
      <color rgb="FF595959"/>
      <name val="Arial"/>
      <family val="0"/>
      <charset val="1"/>
    </font>
    <font>
      <b val="true"/>
      <sz val="10"/>
      <color rgb="FFFFFFFF"/>
      <name val="Arial"/>
      <family val="0"/>
      <charset val="1"/>
    </font>
    <font>
      <b val="true"/>
      <sz val="11"/>
      <color rgb="FFFFFFFF"/>
      <name val="Arial"/>
      <family val="0"/>
      <charset val="1"/>
    </font>
    <font>
      <b val="true"/>
      <sz val="10"/>
      <color rgb="FF1F4E99"/>
      <name val="Arial"/>
      <family val="0"/>
      <charset val="1"/>
    </font>
    <font>
      <sz val="10"/>
      <color rgb="FF1F4E99"/>
      <name val="Arial"/>
      <family val="0"/>
      <charset val="1"/>
    </font>
    <font>
      <b val="true"/>
      <sz val="10"/>
      <color rgb="FF000000"/>
      <name val="Arial"/>
      <family val="0"/>
      <charset val="1"/>
    </font>
    <font>
      <b val="true"/>
      <sz val="10"/>
      <color rgb="FF1B6E3C"/>
      <name val="Arial"/>
      <family val="0"/>
      <charset val="1"/>
    </font>
    <font>
      <i val="true"/>
      <sz val="9"/>
      <color rgb="FF808080"/>
      <name val="Arial"/>
      <family val="0"/>
      <charset val="1"/>
    </font>
    <font>
      <sz val="10"/>
      <name val="Arial"/>
      <family val="2"/>
    </font>
    <font>
      <sz val="10"/>
      <color rgb="FF000000"/>
      <name val="Arial"/>
      <family val="0"/>
      <charset val="1"/>
    </font>
    <font>
      <sz val="10"/>
      <color rgb="FF1B6E3C"/>
      <name val="Arial"/>
      <family val="0"/>
      <charset val="1"/>
    </font>
  </fonts>
  <fills count="8">
    <fill>
      <patternFill patternType="none"/>
    </fill>
    <fill>
      <patternFill patternType="gray125"/>
    </fill>
    <fill>
      <patternFill patternType="solid">
        <fgColor rgb="FF0B3D5C"/>
        <bgColor rgb="FF1F4E99"/>
      </patternFill>
    </fill>
    <fill>
      <patternFill patternType="solid">
        <fgColor rgb="FF15707A"/>
        <bgColor rgb="FF2E6E72"/>
      </patternFill>
    </fill>
    <fill>
      <patternFill patternType="solid">
        <fgColor rgb="FF2E6E72"/>
        <bgColor rgb="FF15707A"/>
      </patternFill>
    </fill>
    <fill>
      <patternFill patternType="solid">
        <fgColor rgb="FFFBF2DC"/>
        <bgColor rgb="FFEDF3F4"/>
      </patternFill>
    </fill>
    <fill>
      <patternFill patternType="solid">
        <fgColor rgb="FFD9E6E8"/>
        <bgColor rgb="FFEDF3F4"/>
      </patternFill>
    </fill>
    <fill>
      <patternFill patternType="solid">
        <fgColor rgb="FFEDF3F4"/>
        <bgColor rgb="FFFBF2DC"/>
      </patternFill>
    </fill>
  </fills>
  <borders count="2">
    <border diagonalUp="false" diagonalDown="false">
      <left/>
      <right/>
      <top/>
      <bottom/>
      <diagonal/>
    </border>
    <border diagonalUp="false" diagonalDown="false">
      <left/>
      <right/>
      <top style="thin">
        <color rgb="FFB7C4C6"/>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true" applyProtection="false">
      <alignment horizontal="left" vertical="bottom" textRotation="0" wrapText="false" indent="1"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7" fillId="4"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5" fontId="0" fillId="5" borderId="0" xfId="0" applyFont="fals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0" fillId="6" borderId="0" xfId="0" applyFont="true" applyBorder="false" applyAlignment="false" applyProtection="false">
      <alignment horizontal="general" vertical="bottom" textRotation="0" wrapText="false" indent="0" shrinkToFit="false"/>
      <protection locked="true" hidden="false"/>
    </xf>
    <xf numFmtId="165" fontId="10" fillId="6"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6"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5" fontId="15" fillId="0" borderId="0" xfId="0" applyFont="true" applyBorder="false" applyAlignment="false" applyProtection="false">
      <alignment horizontal="general" vertical="bottom" textRotation="0" wrapText="false" indent="0" shrinkToFit="false"/>
      <protection locked="true" hidden="false"/>
    </xf>
    <xf numFmtId="164" fontId="11" fillId="6" borderId="0" xfId="0" applyFont="true" applyBorder="false" applyAlignment="false" applyProtection="false">
      <alignment horizontal="general" vertical="bottom" textRotation="0" wrapText="false" indent="0" shrinkToFit="false"/>
      <protection locked="true" hidden="false"/>
    </xf>
    <xf numFmtId="165" fontId="11" fillId="6" borderId="1" xfId="0" applyFont="true" applyBorder="tru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7" fontId="0" fillId="5" borderId="0" xfId="0" applyFont="false" applyBorder="false" applyAlignment="false" applyProtection="false">
      <alignment horizontal="general" vertical="bottom" textRotation="0" wrapText="false" indent="0" shrinkToFit="false"/>
      <protection locked="true" hidden="false"/>
    </xf>
    <xf numFmtId="168" fontId="15" fillId="0" borderId="0" xfId="0" applyFont="true" applyBorder="false" applyAlignment="false" applyProtection="false">
      <alignment horizontal="general" vertical="bottom" textRotation="0" wrapText="false" indent="0" shrinkToFit="false"/>
      <protection locked="true" hidden="false"/>
    </xf>
    <xf numFmtId="168" fontId="10" fillId="6" borderId="1" xfId="0" applyFont="true" applyBorder="true" applyAlignment="fals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left" vertical="center" textRotation="0" wrapText="false" indent="0" shrinkToFit="false"/>
      <protection locked="true" hidden="false"/>
    </xf>
    <xf numFmtId="164" fontId="6" fillId="3" borderId="0" xfId="0" applyFont="true" applyBorder="false" applyAlignment="true" applyProtection="false">
      <alignment horizontal="center" vertical="center"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4" fontId="10" fillId="6" borderId="1" xfId="0" applyFont="tru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10" fillId="7" borderId="0" xfId="0" applyFont="true" applyBorder="true" applyAlignment="fals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center" vertical="center" textRotation="0" wrapText="true" indent="0" shrinkToFit="false"/>
      <protection locked="true" hidden="false"/>
    </xf>
    <xf numFmtId="170" fontId="15" fillId="0" borderId="0" xfId="0" applyFont="true" applyBorder="false" applyAlignment="false" applyProtection="false">
      <alignment horizontal="general" vertical="bottom" textRotation="0" wrapText="false" indent="0" shrinkToFit="false"/>
      <protection locked="true" hidden="false"/>
    </xf>
    <xf numFmtId="170" fontId="14" fillId="0" borderId="0" xfId="0" applyFont="true" applyBorder="false" applyAlignment="false" applyProtection="false">
      <alignment horizontal="general" vertical="bottom" textRotation="0" wrapText="false" indent="0" shrinkToFit="false"/>
      <protection locked="true" hidden="false"/>
    </xf>
    <xf numFmtId="166" fontId="1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1B6E3C"/>
      <rgbColor rgb="FF000080"/>
      <rgbColor rgb="FF808000"/>
      <rgbColor rgb="FF800080"/>
      <rgbColor rgb="FF15707A"/>
      <rgbColor rgb="FFB7C4C6"/>
      <rgbColor rgb="FF808080"/>
      <rgbColor rgb="FF9999FF"/>
      <rgbColor rgb="FF993366"/>
      <rgbColor rgb="FFFBF2DC"/>
      <rgbColor rgb="FFEDF3F4"/>
      <rgbColor rgb="FF660066"/>
      <rgbColor rgb="FFFF8080"/>
      <rgbColor rgb="FF0066CC"/>
      <rgbColor rgb="FFCCCCFF"/>
      <rgbColor rgb="FF000080"/>
      <rgbColor rgb="FFFF00FF"/>
      <rgbColor rgb="FFFFFF00"/>
      <rgbColor rgb="FF00FFFF"/>
      <rgbColor rgb="FF800080"/>
      <rgbColor rgb="FF800000"/>
      <rgbColor rgb="FF2E6E72"/>
      <rgbColor rgb="FF0000FF"/>
      <rgbColor rgb="FF00CCFF"/>
      <rgbColor rgb="FFD9E6E8"/>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B3D5C"/>
      <rgbColor rgb="FF339966"/>
      <rgbColor rgb="FF003300"/>
      <rgbColor rgb="FF333300"/>
      <rgbColor rgb="FF993300"/>
      <rgbColor rgb="FF993366"/>
      <rgbColor rgb="FF1F4E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4.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5.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Q5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17" min="3" style="0" width="13"/>
  </cols>
  <sheetData>
    <row r="1" customFormat="false" ht="21.75" hidden="false" customHeight="true" outlineLevel="0" collapsed="false">
      <c r="B1" s="1" t="s">
        <v>0</v>
      </c>
      <c r="C1" s="1"/>
      <c r="D1" s="1"/>
      <c r="E1" s="1"/>
      <c r="F1" s="1"/>
      <c r="G1" s="1"/>
      <c r="H1" s="1"/>
      <c r="I1" s="1"/>
      <c r="J1" s="1"/>
      <c r="K1" s="1"/>
      <c r="L1" s="1"/>
      <c r="M1" s="1"/>
      <c r="N1" s="1"/>
      <c r="O1" s="1"/>
      <c r="P1" s="1"/>
      <c r="Q1" s="1"/>
    </row>
    <row r="2" customFormat="false" ht="15" hidden="false" customHeight="false" outlineLevel="0" collapsed="false">
      <c r="B2" s="2" t="s">
        <v>1</v>
      </c>
      <c r="C2" s="2"/>
      <c r="D2" s="2"/>
      <c r="E2" s="2"/>
      <c r="F2" s="2"/>
      <c r="G2" s="2"/>
      <c r="H2" s="2"/>
      <c r="I2" s="2"/>
      <c r="J2" s="2"/>
      <c r="K2" s="2"/>
      <c r="L2" s="2"/>
      <c r="M2" s="2"/>
      <c r="N2" s="2"/>
      <c r="O2" s="2"/>
      <c r="P2" s="2"/>
      <c r="Q2" s="2"/>
    </row>
    <row r="4" customFormat="false" ht="15.75" hidden="false" customHeight="true" outlineLevel="0" collapsed="false">
      <c r="B4" s="3" t="s">
        <v>2</v>
      </c>
      <c r="C4" s="4" t="s">
        <v>3</v>
      </c>
      <c r="D4" s="4" t="s">
        <v>4</v>
      </c>
      <c r="E4" s="4" t="s">
        <v>5</v>
      </c>
      <c r="F4" s="4" t="s">
        <v>6</v>
      </c>
      <c r="G4" s="4" t="s">
        <v>7</v>
      </c>
      <c r="H4" s="4" t="s">
        <v>8</v>
      </c>
      <c r="I4" s="4" t="s">
        <v>9</v>
      </c>
      <c r="J4" s="4" t="s">
        <v>10</v>
      </c>
      <c r="K4" s="4" t="s">
        <v>11</v>
      </c>
      <c r="L4" s="4" t="s">
        <v>12</v>
      </c>
      <c r="M4" s="4" t="s">
        <v>13</v>
      </c>
      <c r="N4" s="4" t="s">
        <v>14</v>
      </c>
      <c r="O4" s="4" t="s">
        <v>15</v>
      </c>
      <c r="P4" s="4" t="s">
        <v>16</v>
      </c>
      <c r="Q4" s="4" t="s">
        <v>17</v>
      </c>
    </row>
    <row r="6" customFormat="false" ht="15" hidden="false" customHeight="false" outlineLevel="0" collapsed="false">
      <c r="B6" s="5" t="s">
        <v>18</v>
      </c>
      <c r="C6" s="5"/>
      <c r="D6" s="5"/>
      <c r="E6" s="5"/>
      <c r="F6" s="5"/>
      <c r="G6" s="5"/>
      <c r="H6" s="5"/>
      <c r="I6" s="5"/>
      <c r="J6" s="5"/>
      <c r="K6" s="5"/>
      <c r="L6" s="5"/>
      <c r="M6" s="5"/>
      <c r="N6" s="5"/>
      <c r="O6" s="5"/>
      <c r="P6" s="5"/>
      <c r="Q6" s="5"/>
    </row>
    <row r="7" customFormat="false" ht="15" hidden="false" customHeight="false" outlineLevel="0" collapsed="false">
      <c r="B7" s="6" t="s">
        <v>19</v>
      </c>
      <c r="C7" s="7" t="n">
        <v>53638</v>
      </c>
      <c r="D7" s="7" t="n">
        <v>57645</v>
      </c>
      <c r="E7" s="7" t="n">
        <v>61658</v>
      </c>
      <c r="F7" s="7" t="n">
        <v>21162</v>
      </c>
      <c r="G7" s="7" t="n">
        <v>37718</v>
      </c>
      <c r="H7" s="7" t="n">
        <v>52755</v>
      </c>
      <c r="I7" s="7" t="n">
        <v>63359</v>
      </c>
      <c r="J7" s="7" t="n">
        <v>10796</v>
      </c>
      <c r="K7" s="7" t="n">
        <v>24917</v>
      </c>
      <c r="L7" s="8"/>
      <c r="M7" s="8"/>
      <c r="N7" s="8"/>
      <c r="O7" s="8"/>
      <c r="P7" s="8"/>
      <c r="Q7" s="8"/>
    </row>
    <row r="8" customFormat="false" ht="15" hidden="false" customHeight="false" outlineLevel="0" collapsed="false">
      <c r="B8" s="9" t="s">
        <v>20</v>
      </c>
      <c r="C8" s="10" t="n">
        <v>23928</v>
      </c>
      <c r="D8" s="10" t="n">
        <v>25479</v>
      </c>
      <c r="E8" s="10" t="n">
        <v>27190</v>
      </c>
      <c r="F8" s="10" t="n">
        <v>8769</v>
      </c>
      <c r="G8" s="10" t="n">
        <v>15743</v>
      </c>
      <c r="H8" s="10" t="n">
        <v>22272</v>
      </c>
      <c r="I8" s="10" t="n">
        <v>27170</v>
      </c>
      <c r="J8" s="10" t="n">
        <v>5988</v>
      </c>
      <c r="K8" s="10" t="n">
        <v>12383</v>
      </c>
      <c r="L8" s="8"/>
      <c r="M8" s="8"/>
      <c r="N8" s="8"/>
      <c r="O8" s="8"/>
      <c r="P8" s="8"/>
      <c r="Q8" s="8"/>
    </row>
    <row r="9" customFormat="false" ht="15" hidden="false" customHeight="false" outlineLevel="0" collapsed="false">
      <c r="B9" s="9" t="s">
        <v>21</v>
      </c>
      <c r="C9" s="10" t="n">
        <v>3106</v>
      </c>
      <c r="D9" s="10" t="n">
        <v>4613</v>
      </c>
      <c r="E9" s="10" t="n">
        <v>2437</v>
      </c>
      <c r="F9" s="10" t="n">
        <v>244</v>
      </c>
      <c r="G9" s="10" t="n">
        <v>1011</v>
      </c>
      <c r="H9" s="10" t="n">
        <v>1344</v>
      </c>
      <c r="I9" s="10" t="n">
        <v>1408</v>
      </c>
      <c r="J9" s="10" t="n">
        <v>-161</v>
      </c>
      <c r="K9" s="10" t="n">
        <v>165</v>
      </c>
      <c r="L9" s="8"/>
      <c r="M9" s="8"/>
      <c r="N9" s="8"/>
      <c r="O9" s="8"/>
      <c r="P9" s="8"/>
      <c r="Q9" s="8"/>
    </row>
    <row r="10" customFormat="false" ht="15" hidden="false" customHeight="false" outlineLevel="0" collapsed="false">
      <c r="B10" s="9" t="s">
        <v>22</v>
      </c>
      <c r="C10" s="10" t="n">
        <v>0</v>
      </c>
      <c r="D10" s="10" t="n">
        <v>0</v>
      </c>
      <c r="E10" s="10" t="n">
        <v>0</v>
      </c>
      <c r="F10" s="10" t="n">
        <v>0</v>
      </c>
      <c r="G10" s="10" t="n">
        <v>0</v>
      </c>
      <c r="H10" s="10" t="n">
        <v>472</v>
      </c>
      <c r="I10" s="10" t="n">
        <v>472</v>
      </c>
      <c r="J10" s="10" t="n">
        <v>75</v>
      </c>
      <c r="K10" s="10" t="n">
        <v>79</v>
      </c>
      <c r="L10" s="8"/>
      <c r="M10" s="8"/>
      <c r="N10" s="8"/>
      <c r="O10" s="8"/>
      <c r="P10" s="8"/>
      <c r="Q10" s="8"/>
    </row>
    <row r="11" customFormat="false" ht="15" hidden="false" customHeight="false" outlineLevel="0" collapsed="false">
      <c r="B11" s="9" t="s">
        <v>23</v>
      </c>
      <c r="C11" s="10" t="n">
        <v>48094</v>
      </c>
      <c r="D11" s="10" t="n">
        <v>49569</v>
      </c>
      <c r="E11" s="10" t="n">
        <v>53367</v>
      </c>
      <c r="F11" s="10" t="n">
        <v>14574</v>
      </c>
      <c r="G11" s="10" t="n">
        <v>29178</v>
      </c>
      <c r="H11" s="10" t="n">
        <v>44134</v>
      </c>
      <c r="I11" s="10" t="n">
        <v>59328</v>
      </c>
      <c r="J11" s="10" t="n">
        <v>14997</v>
      </c>
      <c r="K11" s="10" t="n">
        <v>30669</v>
      </c>
      <c r="L11" s="8"/>
      <c r="M11" s="8"/>
      <c r="N11" s="8"/>
      <c r="O11" s="8"/>
      <c r="P11" s="8"/>
      <c r="Q11" s="8"/>
    </row>
    <row r="12" customFormat="false" ht="15" hidden="false" customHeight="false" outlineLevel="0" collapsed="false">
      <c r="B12" s="9" t="s">
        <v>24</v>
      </c>
      <c r="C12" s="10" t="n">
        <v>2340</v>
      </c>
      <c r="D12" s="10" t="n">
        <v>2056</v>
      </c>
      <c r="E12" s="10" t="n">
        <v>1278</v>
      </c>
      <c r="F12" s="10" t="n">
        <v>398</v>
      </c>
      <c r="G12" s="10" t="n">
        <v>797</v>
      </c>
      <c r="H12" s="10" t="n">
        <v>1197</v>
      </c>
      <c r="I12" s="10" t="n">
        <v>1835</v>
      </c>
      <c r="J12" s="10" t="n">
        <v>552</v>
      </c>
      <c r="K12" s="10" t="n">
        <v>1069</v>
      </c>
      <c r="L12" s="8"/>
      <c r="M12" s="8"/>
      <c r="N12" s="8"/>
      <c r="O12" s="8"/>
      <c r="P12" s="8"/>
      <c r="Q12" s="8"/>
    </row>
    <row r="13" customFormat="false" ht="15" hidden="false" customHeight="false" outlineLevel="0" collapsed="false">
      <c r="B13" s="9" t="s">
        <v>25</v>
      </c>
      <c r="C13" s="10" t="n">
        <v>-672</v>
      </c>
      <c r="D13" s="10" t="n">
        <v>1719</v>
      </c>
      <c r="E13" s="10" t="n">
        <v>1813</v>
      </c>
      <c r="F13" s="10" t="n">
        <v>-560</v>
      </c>
      <c r="G13" s="10" t="n">
        <v>-408</v>
      </c>
      <c r="H13" s="10" t="n">
        <v>-65</v>
      </c>
      <c r="I13" s="10" t="n">
        <v>-25</v>
      </c>
      <c r="J13" s="10" t="n">
        <v>288</v>
      </c>
      <c r="K13" s="10" t="n">
        <v>1086</v>
      </c>
      <c r="L13" s="8"/>
      <c r="M13" s="8"/>
      <c r="N13" s="8"/>
      <c r="O13" s="8"/>
      <c r="P13" s="8"/>
      <c r="Q13" s="8"/>
    </row>
    <row r="14" customFormat="false" ht="15" hidden="false" customHeight="false" outlineLevel="0" collapsed="false">
      <c r="B14" s="9" t="s">
        <v>26</v>
      </c>
      <c r="C14" s="10" t="n">
        <v>740</v>
      </c>
      <c r="D14" s="10" t="n">
        <v>1058</v>
      </c>
      <c r="E14" s="10" t="n">
        <v>1093</v>
      </c>
      <c r="F14" s="10" t="n">
        <v>233</v>
      </c>
      <c r="G14" s="10" t="n">
        <v>438</v>
      </c>
      <c r="H14" s="10" t="n">
        <v>650</v>
      </c>
      <c r="I14" s="10" t="n">
        <v>840</v>
      </c>
      <c r="J14" s="10" t="n">
        <v>295</v>
      </c>
      <c r="K14" s="10" t="n">
        <v>598</v>
      </c>
      <c r="L14" s="8"/>
      <c r="M14" s="8"/>
      <c r="N14" s="8"/>
      <c r="O14" s="8"/>
      <c r="P14" s="8"/>
      <c r="Q14" s="8"/>
    </row>
    <row r="15" customFormat="false" ht="15" hidden="false" customHeight="false" outlineLevel="0" collapsed="false">
      <c r="B15" s="9" t="s">
        <v>27</v>
      </c>
      <c r="C15" s="10" t="n">
        <v>-5557</v>
      </c>
      <c r="D15" s="10" t="n">
        <v>-5630</v>
      </c>
      <c r="E15" s="10" t="n">
        <v>-4622</v>
      </c>
      <c r="F15" s="10" t="n">
        <v>-1394</v>
      </c>
      <c r="G15" s="10" t="n">
        <v>-2610</v>
      </c>
      <c r="H15" s="10" t="n">
        <v>-3685</v>
      </c>
      <c r="I15" s="10" t="n">
        <v>-4824</v>
      </c>
      <c r="J15" s="10" t="n">
        <v>-997</v>
      </c>
      <c r="K15" s="10" t="n">
        <v>-1863</v>
      </c>
      <c r="L15" s="8"/>
      <c r="M15" s="8"/>
      <c r="N15" s="8"/>
      <c r="O15" s="8"/>
      <c r="P15" s="8"/>
      <c r="Q15" s="8"/>
    </row>
    <row r="16" customFormat="false" ht="15" hidden="false" customHeight="false" outlineLevel="0" collapsed="false">
      <c r="B16" s="9" t="s">
        <v>28</v>
      </c>
      <c r="C16" s="10" t="n">
        <v>26463</v>
      </c>
      <c r="D16" s="10" t="n">
        <v>26995</v>
      </c>
      <c r="E16" s="10" t="n">
        <v>28692</v>
      </c>
      <c r="F16" s="10" t="n">
        <v>6694</v>
      </c>
      <c r="G16" s="10" t="n">
        <v>15431</v>
      </c>
      <c r="H16" s="10" t="n">
        <v>23119</v>
      </c>
      <c r="I16" s="10" t="n">
        <v>31380</v>
      </c>
      <c r="J16" s="10" t="n">
        <v>7721</v>
      </c>
      <c r="K16" s="10" t="n">
        <v>15363</v>
      </c>
      <c r="L16" s="8"/>
      <c r="M16" s="8"/>
      <c r="N16" s="8"/>
      <c r="O16" s="8"/>
      <c r="P16" s="8"/>
      <c r="Q16" s="8"/>
    </row>
    <row r="17" customFormat="false" ht="15" hidden="false" customHeight="false" outlineLevel="0" collapsed="false">
      <c r="B17" s="9" t="s">
        <v>29</v>
      </c>
      <c r="C17" s="10" t="n">
        <v>-1268</v>
      </c>
      <c r="D17" s="10" t="n">
        <v>154</v>
      </c>
      <c r="E17" s="10" t="n">
        <v>1124</v>
      </c>
      <c r="F17" s="10" t="n">
        <v>0</v>
      </c>
      <c r="G17" s="10" t="n">
        <v>0</v>
      </c>
      <c r="H17" s="10" t="n">
        <v>0</v>
      </c>
      <c r="I17" s="10" t="n">
        <v>-6977</v>
      </c>
      <c r="J17" s="10" t="n">
        <v>0</v>
      </c>
      <c r="K17" s="10" t="n">
        <v>0</v>
      </c>
      <c r="L17" s="8"/>
      <c r="M17" s="8"/>
      <c r="N17" s="8"/>
      <c r="O17" s="8"/>
      <c r="P17" s="8"/>
      <c r="Q17" s="8"/>
    </row>
    <row r="19" customFormat="false" ht="15" hidden="false" customHeight="false" outlineLevel="0" collapsed="false">
      <c r="B19" s="11" t="s">
        <v>30</v>
      </c>
    </row>
    <row r="20" customFormat="false" ht="15" hidden="false" customHeight="false" outlineLevel="0" collapsed="false">
      <c r="B20" s="9" t="s">
        <v>31</v>
      </c>
      <c r="C20" s="10" t="n">
        <v>-14602</v>
      </c>
      <c r="D20" s="10" t="n">
        <v>-1062</v>
      </c>
      <c r="E20" s="10" t="n">
        <v>-4712</v>
      </c>
      <c r="F20" s="10" t="n">
        <v>614</v>
      </c>
      <c r="G20" s="10" t="n">
        <v>6400</v>
      </c>
      <c r="H20" s="10" t="n">
        <v>7502</v>
      </c>
      <c r="I20" s="10" t="n">
        <v>3839</v>
      </c>
      <c r="J20" s="10" t="n">
        <v>-769</v>
      </c>
      <c r="K20" s="10" t="n">
        <v>-3173</v>
      </c>
      <c r="L20" s="8"/>
      <c r="M20" s="8"/>
      <c r="N20" s="8"/>
      <c r="O20" s="8"/>
      <c r="P20" s="8"/>
      <c r="Q20" s="8"/>
    </row>
    <row r="21" customFormat="false" ht="15" hidden="false" customHeight="false" outlineLevel="0" collapsed="false">
      <c r="B21" s="9" t="s">
        <v>32</v>
      </c>
      <c r="C21" s="10" t="n">
        <v>450</v>
      </c>
      <c r="D21" s="10" t="n">
        <v>-143</v>
      </c>
      <c r="E21" s="10" t="n">
        <v>-816</v>
      </c>
      <c r="F21" s="10" t="n">
        <v>247</v>
      </c>
      <c r="G21" s="10" t="n">
        <v>314</v>
      </c>
      <c r="H21" s="10" t="n">
        <v>28</v>
      </c>
      <c r="I21" s="10" t="n">
        <v>-178</v>
      </c>
      <c r="J21" s="10" t="n">
        <v>279</v>
      </c>
      <c r="K21" s="10" t="n">
        <v>-502</v>
      </c>
      <c r="L21" s="8"/>
      <c r="M21" s="8"/>
      <c r="N21" s="8"/>
      <c r="O21" s="8"/>
      <c r="P21" s="8"/>
      <c r="Q21" s="8"/>
    </row>
    <row r="22" customFormat="false" ht="15" hidden="false" customHeight="false" outlineLevel="0" collapsed="false">
      <c r="B22" s="9" t="s">
        <v>33</v>
      </c>
      <c r="C22" s="10" t="n">
        <v>2074</v>
      </c>
      <c r="D22" s="10" t="n">
        <v>-310</v>
      </c>
      <c r="E22" s="10" t="n">
        <v>176</v>
      </c>
      <c r="F22" s="10" t="n">
        <v>-178</v>
      </c>
      <c r="G22" s="10" t="n">
        <v>-173</v>
      </c>
      <c r="H22" s="10" t="n">
        <v>-665</v>
      </c>
      <c r="I22" s="10" t="n">
        <v>-3876</v>
      </c>
      <c r="J22" s="10" t="n">
        <v>79</v>
      </c>
      <c r="K22" s="10" t="n">
        <v>1019</v>
      </c>
      <c r="L22" s="8"/>
      <c r="M22" s="8"/>
      <c r="N22" s="8"/>
      <c r="O22" s="8"/>
      <c r="P22" s="8"/>
      <c r="Q22" s="8"/>
    </row>
    <row r="23" customFormat="false" ht="15" hidden="false" customHeight="false" outlineLevel="0" collapsed="false">
      <c r="B23" s="9" t="s">
        <v>34</v>
      </c>
      <c r="C23" s="10" t="n">
        <v>698</v>
      </c>
      <c r="D23" s="10" t="n">
        <v>-226</v>
      </c>
      <c r="E23" s="10" t="n">
        <v>-1868</v>
      </c>
      <c r="F23" s="10" t="n">
        <v>-244</v>
      </c>
      <c r="G23" s="10" t="n">
        <v>-2210</v>
      </c>
      <c r="H23" s="10" t="n">
        <v>-2872</v>
      </c>
      <c r="I23" s="10" t="n">
        <v>-4985</v>
      </c>
      <c r="J23" s="10" t="n">
        <v>489</v>
      </c>
      <c r="K23" s="10" t="n">
        <v>-3297</v>
      </c>
      <c r="L23" s="8"/>
      <c r="M23" s="8"/>
      <c r="N23" s="8"/>
      <c r="O23" s="8"/>
      <c r="P23" s="8"/>
      <c r="Q23" s="8"/>
    </row>
    <row r="24" customFormat="false" ht="15" hidden="false" customHeight="false" outlineLevel="0" collapsed="false">
      <c r="B24" s="9" t="s">
        <v>35</v>
      </c>
      <c r="C24" s="10" t="n">
        <v>-1945</v>
      </c>
      <c r="D24" s="10" t="n">
        <v>72</v>
      </c>
      <c r="E24" s="10" t="n">
        <v>-1747</v>
      </c>
      <c r="F24" s="10" t="n">
        <v>307</v>
      </c>
      <c r="G24" s="10" t="n">
        <v>797</v>
      </c>
      <c r="H24" s="10" t="n">
        <v>2023</v>
      </c>
      <c r="I24" s="10" t="n">
        <v>-737</v>
      </c>
      <c r="J24" s="10" t="n">
        <v>458</v>
      </c>
      <c r="K24" s="10" t="n">
        <v>28</v>
      </c>
      <c r="L24" s="8"/>
      <c r="M24" s="8"/>
      <c r="N24" s="8"/>
      <c r="O24" s="8"/>
      <c r="P24" s="8"/>
      <c r="Q24" s="8"/>
    </row>
    <row r="25" customFormat="false" ht="15" hidden="false" customHeight="false" outlineLevel="0" collapsed="false">
      <c r="B25" s="9" t="s">
        <v>36</v>
      </c>
      <c r="C25" s="10" t="n">
        <v>13614</v>
      </c>
      <c r="D25" s="10" t="n">
        <v>-15466</v>
      </c>
      <c r="E25" s="10" t="n">
        <v>1150</v>
      </c>
      <c r="F25" s="10" t="n">
        <v>1293</v>
      </c>
      <c r="G25" s="10" t="n">
        <v>-7506</v>
      </c>
      <c r="H25" s="10" t="n">
        <v>-7728</v>
      </c>
      <c r="I25" s="10" t="n">
        <v>8671</v>
      </c>
      <c r="J25" s="10" t="n">
        <v>-16506</v>
      </c>
      <c r="K25" s="10" t="n">
        <v>-19050</v>
      </c>
      <c r="L25" s="8"/>
      <c r="M25" s="8"/>
      <c r="N25" s="8"/>
      <c r="O25" s="8"/>
      <c r="P25" s="8"/>
      <c r="Q25" s="8"/>
    </row>
    <row r="26" customFormat="false" ht="15" hidden="false" customHeight="false" outlineLevel="0" collapsed="false">
      <c r="B26" s="9" t="s">
        <v>37</v>
      </c>
      <c r="C26" s="10" t="n">
        <v>4404</v>
      </c>
      <c r="D26" s="10" t="n">
        <v>5024</v>
      </c>
      <c r="E26" s="10" t="n">
        <v>-4113</v>
      </c>
      <c r="F26" s="10" t="n">
        <v>-3798</v>
      </c>
      <c r="G26" s="10" t="n">
        <v>-4638</v>
      </c>
      <c r="H26" s="10" t="n">
        <v>-2388</v>
      </c>
      <c r="I26" s="10" t="n">
        <v>1499</v>
      </c>
      <c r="J26" s="10" t="n">
        <v>1759</v>
      </c>
      <c r="K26" s="10" t="n">
        <v>-2420</v>
      </c>
      <c r="L26" s="8"/>
      <c r="M26" s="8"/>
      <c r="N26" s="8"/>
      <c r="O26" s="8"/>
      <c r="P26" s="8"/>
      <c r="Q26" s="8"/>
    </row>
    <row r="27" customFormat="false" ht="15" hidden="false" customHeight="false" outlineLevel="0" collapsed="false">
      <c r="B27" s="9" t="s">
        <v>38</v>
      </c>
      <c r="C27" s="10" t="n">
        <v>0</v>
      </c>
      <c r="D27" s="10" t="n">
        <v>0</v>
      </c>
      <c r="E27" s="10" t="n">
        <v>0</v>
      </c>
      <c r="F27" s="10" t="n">
        <v>-174</v>
      </c>
      <c r="G27" s="10" t="n">
        <v>-388</v>
      </c>
      <c r="H27" s="10" t="n">
        <v>-511</v>
      </c>
      <c r="I27" s="10" t="n">
        <v>0</v>
      </c>
      <c r="J27" s="10" t="n">
        <v>160</v>
      </c>
      <c r="K27" s="10" t="n">
        <v>0</v>
      </c>
      <c r="L27" s="8"/>
      <c r="M27" s="8"/>
      <c r="N27" s="8"/>
      <c r="O27" s="8"/>
      <c r="P27" s="8"/>
      <c r="Q27" s="8"/>
    </row>
    <row r="28" customFormat="false" ht="15" hidden="false" customHeight="false" outlineLevel="0" collapsed="false">
      <c r="B28" s="9" t="s">
        <v>39</v>
      </c>
      <c r="C28" s="10" t="n">
        <v>-5595</v>
      </c>
      <c r="D28" s="10" t="n">
        <v>-1711</v>
      </c>
      <c r="E28" s="10" t="n">
        <v>-1571</v>
      </c>
      <c r="F28" s="10" t="n">
        <v>-2028</v>
      </c>
      <c r="G28" s="10" t="n">
        <v>-2748</v>
      </c>
      <c r="H28" s="10" t="n">
        <v>-1081</v>
      </c>
      <c r="I28" s="10" t="n">
        <v>-4449</v>
      </c>
      <c r="J28" s="10" t="n">
        <v>3694</v>
      </c>
      <c r="K28" s="10" t="n">
        <v>1272</v>
      </c>
      <c r="L28" s="8"/>
      <c r="M28" s="8"/>
      <c r="N28" s="8"/>
      <c r="O28" s="8"/>
      <c r="P28" s="8"/>
      <c r="Q28" s="8"/>
    </row>
    <row r="29" customFormat="false" ht="15" hidden="false" customHeight="false" outlineLevel="0" collapsed="false">
      <c r="B29" s="12" t="s">
        <v>40</v>
      </c>
      <c r="C29" s="13" t="n">
        <f aca="false">C7+C8+C9+C10+C11+C12+C13+C14+C15+C16+C17+C20+C21+C22+C23+C24+C25+C26+C27+C28</f>
        <v>149910</v>
      </c>
      <c r="D29" s="13" t="n">
        <f aca="false">D7+D8+D9+D10+D11+D12+D13+D14+D15+D16+D17+D20+D21+D22+D23+D24+D25+D26+D27+D28</f>
        <v>149836</v>
      </c>
      <c r="E29" s="13" t="n">
        <f aca="false">E7+E8+E9+E10+E11+E12+E13+E14+E15+E16+E17+E20+E21+E22+E23+E24+E25+E26+E27+E28</f>
        <v>160529</v>
      </c>
      <c r="F29" s="13" t="n">
        <f aca="false">F7+F8+F9+F10+F11+F12+F13+F14+F15+F16+F17+F20+F21+F22+F23+F24+F25+F26+F27+F28</f>
        <v>46159</v>
      </c>
      <c r="G29" s="13" t="n">
        <f aca="false">G7+G8+G9+G10+G11+G12+G13+G14+G15+G16+G17+G20+G21+G22+G23+G24+G25+G26+G27+G28</f>
        <v>87146</v>
      </c>
      <c r="H29" s="13" t="n">
        <f aca="false">H7+H8+H9+H10+H11+H12+H13+H14+H15+H16+H17+H20+H21+H22+H23+H24+H25+H26+H27+H28</f>
        <v>136501</v>
      </c>
      <c r="I29" s="13" t="n">
        <f aca="false">I7+I8+I9+I10+I11+I12+I13+I14+I15+I16+I17+I20+I21+I22+I23+I24+I25+I26+I27+I28</f>
        <v>173750</v>
      </c>
      <c r="J29" s="13" t="n">
        <f aca="false">J7+J8+J9+J10+J11+J12+J13+J14+J15+J16+J17+J20+J21+J22+J23+J24+J25+J26+J27+J28</f>
        <v>29197</v>
      </c>
      <c r="K29" s="13" t="n">
        <f aca="false">K7+K8+K9+K10+K11+K12+K13+K14+K15+K16+K17+K20+K21+K22+K23+K24+K25+K26+K27+K28</f>
        <v>58343</v>
      </c>
      <c r="L29" s="13" t="n">
        <f aca="false">L7+L8+L9+L10+L11+L12+L13+L14+L15+L16+L17+L20+L21+L22+L23+L24+L25+L26+L27+L28</f>
        <v>0</v>
      </c>
      <c r="M29" s="13" t="n">
        <f aca="false">M7+M8+M9+M10+M11+M12+M13+M14+M15+M16+M17+M20+M21+M22+M23+M24+M25+M26+M27+M28</f>
        <v>0</v>
      </c>
      <c r="N29" s="13" t="n">
        <f aca="false">N7+N8+N9+N10+N11+N12+N13+N14+N15+N16+N17+N20+N21+N22+N23+N24+N25+N26+N27+N28</f>
        <v>0</v>
      </c>
      <c r="O29" s="13" t="n">
        <f aca="false">O7+O8+O9+O10+O11+O12+O13+O14+O15+O16+O17+O20+O21+O22+O23+O24+O25+O26+O27+O28</f>
        <v>0</v>
      </c>
      <c r="P29" s="13" t="n">
        <f aca="false">P7+P8+P9+P10+P11+P12+P13+P14+P15+P16+P17+P20+P21+P22+P23+P24+P25+P26+P27+P28</f>
        <v>0</v>
      </c>
      <c r="Q29" s="13" t="n">
        <f aca="false">Q7+Q8+Q9+Q10+Q11+Q12+Q13+Q14+Q15+Q16+Q17+Q20+Q21+Q22+Q23+Q24+Q25+Q26+Q27+Q28</f>
        <v>0</v>
      </c>
    </row>
    <row r="30" customFormat="false" ht="15" hidden="false" customHeight="false" outlineLevel="0" collapsed="false">
      <c r="B30" s="9" t="s">
        <v>41</v>
      </c>
      <c r="C30" s="10" t="n">
        <v>4818</v>
      </c>
      <c r="D30" s="10" t="n">
        <v>5336</v>
      </c>
      <c r="E30" s="10" t="n">
        <v>4309</v>
      </c>
      <c r="F30" s="10" t="n">
        <v>819</v>
      </c>
      <c r="G30" s="10" t="n">
        <v>2149</v>
      </c>
      <c r="H30" s="10" t="n">
        <v>2946</v>
      </c>
      <c r="I30" s="10" t="n">
        <v>4088</v>
      </c>
      <c r="J30" s="10" t="n">
        <v>831</v>
      </c>
      <c r="K30" s="10" t="n">
        <v>1643</v>
      </c>
      <c r="L30" s="8"/>
      <c r="M30" s="8"/>
      <c r="N30" s="8"/>
      <c r="O30" s="8"/>
      <c r="P30" s="8"/>
      <c r="Q30" s="8"/>
    </row>
    <row r="31" customFormat="false" ht="15" hidden="false" customHeight="false" outlineLevel="0" collapsed="false">
      <c r="B31" s="9" t="s">
        <v>42</v>
      </c>
      <c r="C31" s="10" t="n">
        <v>-17647</v>
      </c>
      <c r="D31" s="10" t="n">
        <v>-24569</v>
      </c>
      <c r="E31" s="10" t="n">
        <v>-25172</v>
      </c>
      <c r="F31" s="10" t="n">
        <v>-6986</v>
      </c>
      <c r="G31" s="10" t="n">
        <v>-13651</v>
      </c>
      <c r="H31" s="10" t="n">
        <v>-19777</v>
      </c>
      <c r="I31" s="10" t="n">
        <v>-26105</v>
      </c>
      <c r="J31" s="10" t="n">
        <v>-6575</v>
      </c>
      <c r="K31" s="10" t="n">
        <v>-9565</v>
      </c>
      <c r="L31" s="8"/>
      <c r="M31" s="8"/>
      <c r="N31" s="8"/>
      <c r="O31" s="8"/>
      <c r="P31" s="8"/>
      <c r="Q31" s="8"/>
    </row>
    <row r="32" customFormat="false" ht="15" hidden="false" customHeight="false" outlineLevel="0" collapsed="false">
      <c r="B32" s="12" t="s">
        <v>43</v>
      </c>
      <c r="C32" s="13" t="n">
        <f aca="false">C29+C30+C31</f>
        <v>137081</v>
      </c>
      <c r="D32" s="13" t="n">
        <f aca="false">D29+D30+D31</f>
        <v>130603</v>
      </c>
      <c r="E32" s="13" t="n">
        <f aca="false">E29+E30+E31</f>
        <v>139666</v>
      </c>
      <c r="F32" s="13" t="n">
        <f aca="false">F29+F30+F31</f>
        <v>39992</v>
      </c>
      <c r="G32" s="13" t="n">
        <f aca="false">G29+G30+G31</f>
        <v>75644</v>
      </c>
      <c r="H32" s="13" t="n">
        <f aca="false">H29+H30+H31</f>
        <v>119670</v>
      </c>
      <c r="I32" s="13" t="n">
        <f aca="false">I29+I30+I31</f>
        <v>151733</v>
      </c>
      <c r="J32" s="13" t="n">
        <f aca="false">J29+J30+J31</f>
        <v>23453</v>
      </c>
      <c r="K32" s="13" t="n">
        <f aca="false">K29+K30+K31</f>
        <v>50421</v>
      </c>
      <c r="L32" s="13" t="n">
        <f aca="false">L29+L30+L31</f>
        <v>0</v>
      </c>
      <c r="M32" s="13" t="n">
        <f aca="false">M29+M30+M31</f>
        <v>0</v>
      </c>
      <c r="N32" s="13" t="n">
        <f aca="false">N29+N30+N31</f>
        <v>0</v>
      </c>
      <c r="O32" s="13" t="n">
        <f aca="false">O29+O30+O31</f>
        <v>0</v>
      </c>
      <c r="P32" s="13" t="n">
        <f aca="false">P29+P30+P31</f>
        <v>0</v>
      </c>
      <c r="Q32" s="13" t="n">
        <f aca="false">Q29+Q30+Q31</f>
        <v>0</v>
      </c>
    </row>
    <row r="34" customFormat="false" ht="15" hidden="false" customHeight="false" outlineLevel="0" collapsed="false">
      <c r="B34" s="5" t="s">
        <v>44</v>
      </c>
      <c r="C34" s="5"/>
      <c r="D34" s="5"/>
      <c r="E34" s="5"/>
      <c r="F34" s="5"/>
      <c r="G34" s="5"/>
      <c r="H34" s="5"/>
      <c r="I34" s="5"/>
      <c r="J34" s="5"/>
      <c r="K34" s="5"/>
      <c r="L34" s="5"/>
      <c r="M34" s="5"/>
      <c r="N34" s="5"/>
      <c r="O34" s="5"/>
      <c r="P34" s="5"/>
      <c r="Q34" s="5"/>
    </row>
    <row r="35" customFormat="false" ht="15" hidden="false" customHeight="false" outlineLevel="0" collapsed="false">
      <c r="B35" s="9" t="s">
        <v>45</v>
      </c>
      <c r="C35" s="10" t="n">
        <v>-50329</v>
      </c>
      <c r="D35" s="10" t="n">
        <v>-71429</v>
      </c>
      <c r="E35" s="10" t="n">
        <v>-80791</v>
      </c>
      <c r="F35" s="10" t="n">
        <v>-14971</v>
      </c>
      <c r="G35" s="10" t="n">
        <v>-40597</v>
      </c>
      <c r="H35" s="10" t="n">
        <v>-73400</v>
      </c>
      <c r="I35" s="10" t="n">
        <v>-107078</v>
      </c>
      <c r="J35" s="10" t="n">
        <v>-15177</v>
      </c>
      <c r="K35" s="10" t="n">
        <v>-34417</v>
      </c>
      <c r="L35" s="8"/>
      <c r="M35" s="8"/>
      <c r="N35" s="8"/>
      <c r="O35" s="8"/>
      <c r="P35" s="8"/>
      <c r="Q35" s="8"/>
    </row>
    <row r="36" customFormat="false" ht="15" hidden="false" customHeight="false" outlineLevel="0" collapsed="false">
      <c r="B36" s="9" t="s">
        <v>46</v>
      </c>
      <c r="C36" s="10" t="n">
        <v>-2575</v>
      </c>
      <c r="D36" s="10" t="n">
        <v>-2410</v>
      </c>
      <c r="E36" s="10" t="n">
        <v>-7319</v>
      </c>
      <c r="F36" s="10" t="n">
        <v>-260</v>
      </c>
      <c r="G36" s="10" t="n">
        <v>-942</v>
      </c>
      <c r="H36" s="10" t="n">
        <v>-1380</v>
      </c>
      <c r="I36" s="10" t="n">
        <v>-2235</v>
      </c>
      <c r="J36" s="10" t="n">
        <v>-647</v>
      </c>
      <c r="K36" s="10" t="n">
        <v>-2468</v>
      </c>
      <c r="L36" s="8"/>
      <c r="M36" s="8"/>
      <c r="N36" s="8"/>
      <c r="O36" s="8"/>
      <c r="P36" s="8"/>
      <c r="Q36" s="8"/>
    </row>
    <row r="37" customFormat="false" ht="15" hidden="false" customHeight="false" outlineLevel="0" collapsed="false">
      <c r="B37" s="9" t="s">
        <v>47</v>
      </c>
      <c r="C37" s="10" t="n">
        <v>0</v>
      </c>
      <c r="D37" s="10" t="n">
        <v>-10046</v>
      </c>
      <c r="E37" s="10" t="n">
        <v>-1200</v>
      </c>
      <c r="F37" s="10" t="n">
        <v>0</v>
      </c>
      <c r="G37" s="10" t="n">
        <v>0</v>
      </c>
      <c r="H37" s="10" t="n">
        <v>0</v>
      </c>
      <c r="I37" s="10" t="n">
        <v>0</v>
      </c>
      <c r="J37" s="10" t="n">
        <v>0</v>
      </c>
      <c r="K37" s="10" t="n">
        <v>0</v>
      </c>
      <c r="L37" s="8"/>
      <c r="M37" s="8"/>
      <c r="N37" s="8"/>
      <c r="O37" s="8"/>
      <c r="P37" s="8"/>
      <c r="Q37" s="8"/>
    </row>
    <row r="38" customFormat="false" ht="15" hidden="false" customHeight="false" outlineLevel="0" collapsed="false">
      <c r="B38" s="9" t="s">
        <v>48</v>
      </c>
      <c r="C38" s="10" t="n">
        <v>0</v>
      </c>
      <c r="D38" s="10" t="n">
        <v>25667</v>
      </c>
      <c r="E38" s="10" t="n">
        <v>2800</v>
      </c>
      <c r="F38" s="10" t="n">
        <v>0</v>
      </c>
      <c r="G38" s="10" t="n">
        <v>0</v>
      </c>
      <c r="H38" s="10" t="n">
        <v>10622</v>
      </c>
      <c r="I38" s="10" t="n">
        <v>15622</v>
      </c>
      <c r="J38" s="10" t="n">
        <v>0</v>
      </c>
      <c r="K38" s="10" t="n">
        <v>0</v>
      </c>
      <c r="L38" s="8"/>
      <c r="M38" s="8"/>
      <c r="N38" s="8"/>
      <c r="O38" s="8"/>
      <c r="P38" s="8"/>
      <c r="Q38" s="8"/>
    </row>
    <row r="39" customFormat="false" ht="15" hidden="false" customHeight="false" outlineLevel="0" collapsed="false">
      <c r="B39" s="12" t="s">
        <v>49</v>
      </c>
      <c r="C39" s="13" t="n">
        <f aca="false">C35+C36+C37+C38</f>
        <v>-52904</v>
      </c>
      <c r="D39" s="13" t="n">
        <f aca="false">D35+D36+D37+D38</f>
        <v>-58218</v>
      </c>
      <c r="E39" s="13" t="n">
        <f aca="false">E35+E36+E37+E38</f>
        <v>-86510</v>
      </c>
      <c r="F39" s="13" t="n">
        <f aca="false">F35+F36+F37+F38</f>
        <v>-15231</v>
      </c>
      <c r="G39" s="13" t="n">
        <f aca="false">G35+G36+G37+G38</f>
        <v>-41539</v>
      </c>
      <c r="H39" s="13" t="n">
        <f aca="false">H35+H36+H37+H38</f>
        <v>-64158</v>
      </c>
      <c r="I39" s="13" t="n">
        <f aca="false">I35+I36+I37+I38</f>
        <v>-93691</v>
      </c>
      <c r="J39" s="13" t="n">
        <f aca="false">J35+J36+J37+J38</f>
        <v>-15824</v>
      </c>
      <c r="K39" s="13" t="n">
        <f aca="false">K35+K36+K37+K38</f>
        <v>-36885</v>
      </c>
      <c r="L39" s="13" t="n">
        <f aca="false">L35+L36+L37+L38</f>
        <v>0</v>
      </c>
      <c r="M39" s="13" t="n">
        <f aca="false">M35+M36+M37+M38</f>
        <v>0</v>
      </c>
      <c r="N39" s="13" t="n">
        <f aca="false">N35+N36+N37+N38</f>
        <v>0</v>
      </c>
      <c r="O39" s="13" t="n">
        <f aca="false">O35+O36+O37+O38</f>
        <v>0</v>
      </c>
      <c r="P39" s="13" t="n">
        <f aca="false">P35+P36+P37+P38</f>
        <v>0</v>
      </c>
      <c r="Q39" s="13" t="n">
        <f aca="false">Q35+Q36+Q37+Q38</f>
        <v>0</v>
      </c>
    </row>
    <row r="41" customFormat="false" ht="15" hidden="false" customHeight="false" outlineLevel="0" collapsed="false">
      <c r="B41" s="5" t="s">
        <v>50</v>
      </c>
      <c r="C41" s="5"/>
      <c r="D41" s="5"/>
      <c r="E41" s="5"/>
      <c r="F41" s="5"/>
      <c r="G41" s="5"/>
      <c r="H41" s="5"/>
      <c r="I41" s="5"/>
      <c r="J41" s="5"/>
      <c r="K41" s="5"/>
      <c r="L41" s="5"/>
      <c r="M41" s="5"/>
      <c r="N41" s="5"/>
      <c r="O41" s="5"/>
      <c r="P41" s="5"/>
      <c r="Q41" s="5"/>
    </row>
    <row r="42" customFormat="false" ht="15" hidden="false" customHeight="false" outlineLevel="0" collapsed="false">
      <c r="B42" s="9" t="s">
        <v>51</v>
      </c>
      <c r="C42" s="10" t="n">
        <v>64470</v>
      </c>
      <c r="D42" s="10" t="n">
        <v>85635</v>
      </c>
      <c r="E42" s="10" t="n">
        <v>286000</v>
      </c>
      <c r="F42" s="10" t="n">
        <v>170000</v>
      </c>
      <c r="G42" s="10" t="n">
        <v>195000</v>
      </c>
      <c r="H42" s="10" t="n">
        <v>230000</v>
      </c>
      <c r="I42" s="10" t="n">
        <v>355000</v>
      </c>
      <c r="J42" s="10" t="n">
        <v>10000</v>
      </c>
      <c r="K42" s="10" t="n">
        <v>170000</v>
      </c>
      <c r="L42" s="8"/>
      <c r="M42" s="8"/>
      <c r="N42" s="8"/>
      <c r="O42" s="8"/>
      <c r="P42" s="8"/>
      <c r="Q42" s="8"/>
    </row>
    <row r="43" customFormat="false" ht="15" hidden="false" customHeight="false" outlineLevel="0" collapsed="false">
      <c r="B43" s="9" t="s">
        <v>52</v>
      </c>
      <c r="C43" s="10" t="n">
        <v>0</v>
      </c>
      <c r="D43" s="10" t="n">
        <v>42477</v>
      </c>
      <c r="E43" s="10" t="n">
        <v>0</v>
      </c>
      <c r="F43" s="10" t="n">
        <v>0</v>
      </c>
      <c r="G43" s="10" t="n">
        <v>0</v>
      </c>
      <c r="H43" s="10" t="n">
        <v>0</v>
      </c>
      <c r="I43" s="10" t="n">
        <v>0</v>
      </c>
      <c r="J43" s="10" t="n">
        <v>0</v>
      </c>
      <c r="K43" s="10" t="n">
        <v>0</v>
      </c>
      <c r="L43" s="8"/>
      <c r="M43" s="8"/>
      <c r="N43" s="8"/>
      <c r="O43" s="8"/>
      <c r="P43" s="8"/>
      <c r="Q43" s="8"/>
    </row>
    <row r="44" customFormat="false" ht="15" hidden="false" customHeight="false" outlineLevel="0" collapsed="false">
      <c r="B44" s="9" t="s">
        <v>53</v>
      </c>
      <c r="C44" s="10" t="n">
        <v>-30923</v>
      </c>
      <c r="D44" s="10" t="n">
        <v>-34065</v>
      </c>
      <c r="E44" s="10" t="n">
        <v>-37955</v>
      </c>
      <c r="F44" s="10" t="n">
        <v>-11200</v>
      </c>
      <c r="G44" s="10" t="n">
        <v>-22415</v>
      </c>
      <c r="H44" s="10" t="n">
        <v>-33874</v>
      </c>
      <c r="I44" s="10" t="n">
        <v>-45210</v>
      </c>
      <c r="J44" s="10" t="n">
        <v>-11545</v>
      </c>
      <c r="K44" s="10" t="n">
        <v>-23656</v>
      </c>
      <c r="L44" s="8"/>
      <c r="M44" s="8"/>
      <c r="N44" s="8"/>
      <c r="O44" s="8"/>
      <c r="P44" s="8"/>
      <c r="Q44" s="8"/>
    </row>
    <row r="45" customFormat="false" ht="15" hidden="false" customHeight="false" outlineLevel="0" collapsed="false">
      <c r="B45" s="9" t="s">
        <v>54</v>
      </c>
      <c r="C45" s="10" t="n">
        <v>-136586</v>
      </c>
      <c r="D45" s="10" t="n">
        <v>-102870</v>
      </c>
      <c r="E45" s="10" t="n">
        <v>-226000</v>
      </c>
      <c r="F45" s="10" t="n">
        <v>-160000</v>
      </c>
      <c r="G45" s="10" t="n">
        <v>-160000</v>
      </c>
      <c r="H45" s="10" t="n">
        <v>-185000</v>
      </c>
      <c r="I45" s="10" t="n">
        <v>-265500</v>
      </c>
      <c r="J45" s="10" t="n">
        <v>-10000</v>
      </c>
      <c r="K45" s="10" t="n">
        <v>-135000</v>
      </c>
      <c r="L45" s="8"/>
      <c r="M45" s="8"/>
      <c r="N45" s="8"/>
      <c r="O45" s="8"/>
      <c r="P45" s="8"/>
      <c r="Q45" s="8"/>
    </row>
    <row r="46" customFormat="false" ht="15" hidden="false" customHeight="false" outlineLevel="0" collapsed="false">
      <c r="B46" s="9" t="s">
        <v>55</v>
      </c>
      <c r="C46" s="10" t="n">
        <v>-1537</v>
      </c>
      <c r="D46" s="10" t="n">
        <v>-1525</v>
      </c>
      <c r="E46" s="10" t="n">
        <v>-1499</v>
      </c>
      <c r="F46" s="10" t="n">
        <v>0</v>
      </c>
      <c r="G46" s="10" t="n">
        <v>-749</v>
      </c>
      <c r="H46" s="10" t="n">
        <v>-749</v>
      </c>
      <c r="I46" s="10" t="n">
        <v>-1446</v>
      </c>
      <c r="J46" s="10" t="n">
        <v>0</v>
      </c>
      <c r="K46" s="10" t="n">
        <v>-692</v>
      </c>
      <c r="L46" s="8"/>
      <c r="M46" s="8"/>
      <c r="N46" s="8"/>
      <c r="O46" s="8"/>
      <c r="P46" s="8"/>
      <c r="Q46" s="8"/>
    </row>
    <row r="47" customFormat="false" ht="15" hidden="false" customHeight="false" outlineLevel="0" collapsed="false">
      <c r="B47" s="9" t="s">
        <v>56</v>
      </c>
      <c r="C47" s="10" t="n">
        <v>-855</v>
      </c>
      <c r="D47" s="10" t="n">
        <v>-811</v>
      </c>
      <c r="E47" s="10" t="n">
        <v>-2201</v>
      </c>
      <c r="F47" s="10" t="n">
        <v>-208</v>
      </c>
      <c r="G47" s="10" t="n">
        <v>-599</v>
      </c>
      <c r="H47" s="10" t="n">
        <v>-1503</v>
      </c>
      <c r="I47" s="10" t="n">
        <v>-2221</v>
      </c>
      <c r="J47" s="10" t="n">
        <v>-1674</v>
      </c>
      <c r="K47" s="10" t="n">
        <v>-2592</v>
      </c>
      <c r="L47" s="8"/>
      <c r="M47" s="8"/>
      <c r="N47" s="8"/>
      <c r="O47" s="8"/>
      <c r="P47" s="8"/>
      <c r="Q47" s="8"/>
    </row>
    <row r="48" customFormat="false" ht="15" hidden="false" customHeight="false" outlineLevel="0" collapsed="false">
      <c r="B48" s="9" t="s">
        <v>57</v>
      </c>
      <c r="C48" s="10" t="n">
        <v>-13498</v>
      </c>
      <c r="D48" s="10" t="n">
        <v>-15389</v>
      </c>
      <c r="E48" s="10" t="n">
        <v>-18193</v>
      </c>
      <c r="F48" s="10" t="n">
        <v>-2896</v>
      </c>
      <c r="G48" s="10" t="n">
        <v>-9091</v>
      </c>
      <c r="H48" s="10" t="n">
        <v>-12609</v>
      </c>
      <c r="I48" s="10" t="n">
        <v>-18919</v>
      </c>
      <c r="J48" s="10" t="n">
        <v>-1707</v>
      </c>
      <c r="K48" s="10" t="n">
        <v>-10462</v>
      </c>
      <c r="L48" s="8"/>
      <c r="M48" s="8"/>
      <c r="N48" s="8"/>
      <c r="O48" s="8"/>
      <c r="P48" s="8"/>
      <c r="Q48" s="8"/>
    </row>
    <row r="49" customFormat="false" ht="15" hidden="false" customHeight="false" outlineLevel="0" collapsed="false">
      <c r="B49" s="9" t="s">
        <v>58</v>
      </c>
      <c r="C49" s="10" t="n">
        <v>-1398</v>
      </c>
      <c r="D49" s="10" t="n">
        <v>-1309</v>
      </c>
      <c r="E49" s="10" t="n">
        <v>-497</v>
      </c>
      <c r="F49" s="10" t="n">
        <v>0</v>
      </c>
      <c r="G49" s="10" t="n">
        <v>0</v>
      </c>
      <c r="H49" s="10" t="n">
        <v>0</v>
      </c>
      <c r="I49" s="10" t="n">
        <v>0</v>
      </c>
      <c r="J49" s="10" t="n">
        <v>0</v>
      </c>
      <c r="K49" s="10" t="n">
        <v>0</v>
      </c>
      <c r="L49" s="8"/>
      <c r="M49" s="8"/>
      <c r="N49" s="8"/>
      <c r="O49" s="8"/>
      <c r="P49" s="8"/>
      <c r="Q49" s="8"/>
    </row>
    <row r="50" customFormat="false" ht="15" hidden="false" customHeight="false" outlineLevel="0" collapsed="false">
      <c r="B50" s="9" t="s">
        <v>59</v>
      </c>
      <c r="C50" s="10" t="n">
        <v>-50868</v>
      </c>
      <c r="D50" s="10" t="n">
        <v>-46875</v>
      </c>
      <c r="E50" s="10" t="n">
        <v>-59161</v>
      </c>
      <c r="F50" s="10" t="n">
        <v>-17185</v>
      </c>
      <c r="G50" s="10" t="n">
        <v>-17191</v>
      </c>
      <c r="H50" s="10" t="n">
        <v>-42189</v>
      </c>
      <c r="I50" s="10" t="n">
        <v>-64168</v>
      </c>
      <c r="J50" s="10" t="n">
        <v>0</v>
      </c>
      <c r="K50" s="10" t="n">
        <v>-16380</v>
      </c>
      <c r="L50" s="8"/>
      <c r="M50" s="8"/>
      <c r="N50" s="8"/>
      <c r="O50" s="8"/>
      <c r="P50" s="8"/>
      <c r="Q50" s="8"/>
    </row>
    <row r="51" customFormat="false" ht="15" hidden="false" customHeight="false" outlineLevel="0" collapsed="false">
      <c r="B51" s="12" t="s">
        <v>60</v>
      </c>
      <c r="C51" s="13" t="n">
        <f aca="false">C42+C43+C44+C45+C46+C47+C48+C49+C50</f>
        <v>-171195</v>
      </c>
      <c r="D51" s="13" t="n">
        <f aca="false">D42+D43+D44+D45+D46+D47+D48+D49+D50</f>
        <v>-74732</v>
      </c>
      <c r="E51" s="13" t="n">
        <f aca="false">E42+E43+E44+E45+E46+E47+E48+E49+E50</f>
        <v>-59506</v>
      </c>
      <c r="F51" s="13" t="n">
        <f aca="false">F42+F43+F44+F45+F46+F47+F48+F49+F50</f>
        <v>-21489</v>
      </c>
      <c r="G51" s="13" t="n">
        <f aca="false">G42+G43+G44+G45+G46+G47+G48+G49+G50</f>
        <v>-15045</v>
      </c>
      <c r="H51" s="13" t="n">
        <f aca="false">H42+H43+H44+H45+H46+H47+H48+H49+H50</f>
        <v>-45924</v>
      </c>
      <c r="I51" s="13" t="n">
        <f aca="false">I42+I43+I44+I45+I46+I47+I48+I49+I50</f>
        <v>-42464</v>
      </c>
      <c r="J51" s="13" t="n">
        <f aca="false">J42+J43+J44+J45+J46+J47+J48+J49+J50</f>
        <v>-14926</v>
      </c>
      <c r="K51" s="13" t="n">
        <f aca="false">K42+K43+K44+K45+K46+K47+K48+K49+K50</f>
        <v>-18782</v>
      </c>
      <c r="L51" s="13" t="n">
        <f aca="false">L42+L43+L44+L45+L46+L47+L48+L49+L50</f>
        <v>0</v>
      </c>
      <c r="M51" s="13" t="n">
        <f aca="false">M42+M43+M44+M45+M46+M47+M48+M49+M50</f>
        <v>0</v>
      </c>
      <c r="N51" s="13" t="n">
        <f aca="false">N42+N43+N44+N45+N46+N47+N48+N49+N50</f>
        <v>0</v>
      </c>
      <c r="O51" s="13" t="n">
        <f aca="false">O42+O43+O44+O45+O46+O47+O48+O49+O50</f>
        <v>0</v>
      </c>
      <c r="P51" s="13" t="n">
        <f aca="false">P42+P43+P44+P45+P46+P47+P48+P49+P50</f>
        <v>0</v>
      </c>
      <c r="Q51" s="13" t="n">
        <f aca="false">Q42+Q43+Q44+Q45+Q46+Q47+Q48+Q49+Q50</f>
        <v>0</v>
      </c>
    </row>
    <row r="53" customFormat="false" ht="15" hidden="false" customHeight="false" outlineLevel="0" collapsed="false">
      <c r="B53" s="12" t="s">
        <v>61</v>
      </c>
      <c r="C53" s="13" t="n">
        <f aca="false">C32+C39+C51</f>
        <v>-87018</v>
      </c>
      <c r="D53" s="13" t="n">
        <f aca="false">D32+D39+D51</f>
        <v>-2347</v>
      </c>
      <c r="E53" s="13" t="n">
        <f aca="false">E32+E39+E51</f>
        <v>-6350</v>
      </c>
      <c r="F53" s="13" t="n">
        <f aca="false">F32+F39+F51</f>
        <v>3272</v>
      </c>
      <c r="G53" s="13" t="n">
        <f aca="false">G32+G39+G51</f>
        <v>19060</v>
      </c>
      <c r="H53" s="13" t="n">
        <f aca="false">H32+H39+H51</f>
        <v>9588</v>
      </c>
      <c r="I53" s="13" t="n">
        <f aca="false">I32+I39+I51</f>
        <v>15578</v>
      </c>
      <c r="J53" s="13" t="n">
        <f aca="false">J32+J39+J51</f>
        <v>-7297</v>
      </c>
      <c r="K53" s="13" t="n">
        <f aca="false">K32+K39+K51</f>
        <v>-5246</v>
      </c>
      <c r="L53" s="13" t="n">
        <f aca="false">L32+L39+L51</f>
        <v>0</v>
      </c>
      <c r="M53" s="13" t="n">
        <f aca="false">M32+M39+M51</f>
        <v>0</v>
      </c>
      <c r="N53" s="13" t="n">
        <f aca="false">N32+N39+N51</f>
        <v>0</v>
      </c>
      <c r="O53" s="13" t="n">
        <f aca="false">O32+O39+O51</f>
        <v>0</v>
      </c>
      <c r="P53" s="13" t="n">
        <f aca="false">P32+P39+P51</f>
        <v>0</v>
      </c>
      <c r="Q53" s="13" t="n">
        <f aca="false">Q32+Q39+Q51</f>
        <v>0</v>
      </c>
    </row>
    <row r="54" customFormat="false" ht="15" hidden="false" customHeight="false" outlineLevel="0" collapsed="false">
      <c r="B54" s="14" t="s">
        <v>62</v>
      </c>
      <c r="C54" s="7" t="n">
        <v>109240</v>
      </c>
      <c r="D54" s="15" t="n">
        <f aca="false">C56</f>
        <v>18488</v>
      </c>
      <c r="E54" s="15" t="n">
        <f aca="false">D56</f>
        <v>16159</v>
      </c>
      <c r="F54" s="15" t="n">
        <f aca="false">E56</f>
        <v>10132</v>
      </c>
      <c r="G54" s="15" t="n">
        <f aca="false">E56</f>
        <v>10132</v>
      </c>
      <c r="H54" s="15" t="n">
        <f aca="false">E56</f>
        <v>10132</v>
      </c>
      <c r="I54" s="15" t="n">
        <f aca="false">E56</f>
        <v>10132</v>
      </c>
      <c r="J54" s="15" t="n">
        <f aca="false">I56</f>
        <v>25510</v>
      </c>
      <c r="K54" s="15" t="n">
        <f aca="false">I56</f>
        <v>25510</v>
      </c>
      <c r="L54" s="15" t="n">
        <f aca="false">I56</f>
        <v>25510</v>
      </c>
      <c r="M54" s="15" t="n">
        <f aca="false">I56</f>
        <v>25510</v>
      </c>
      <c r="N54" s="15" t="n">
        <f aca="false">M56</f>
        <v>25510</v>
      </c>
      <c r="O54" s="15" t="n">
        <f aca="false">M56</f>
        <v>25510</v>
      </c>
      <c r="P54" s="15" t="n">
        <f aca="false">M56</f>
        <v>25510</v>
      </c>
      <c r="Q54" s="15" t="n">
        <f aca="false">M56</f>
        <v>25510</v>
      </c>
    </row>
    <row r="55" customFormat="false" ht="15" hidden="false" customHeight="false" outlineLevel="0" collapsed="false">
      <c r="B55" s="9" t="s">
        <v>63</v>
      </c>
      <c r="C55" s="10" t="n">
        <v>-3734</v>
      </c>
      <c r="D55" s="10" t="n">
        <v>18</v>
      </c>
      <c r="E55" s="10" t="n">
        <v>323</v>
      </c>
      <c r="F55" s="10" t="n">
        <v>0</v>
      </c>
      <c r="G55" s="10" t="n">
        <v>0</v>
      </c>
      <c r="H55" s="10" t="n">
        <v>0</v>
      </c>
      <c r="I55" s="10" t="n">
        <v>-200</v>
      </c>
      <c r="J55" s="10" t="n">
        <v>0</v>
      </c>
      <c r="K55" s="10" t="n">
        <v>0</v>
      </c>
      <c r="L55" s="8"/>
      <c r="M55" s="8"/>
      <c r="N55" s="8"/>
      <c r="O55" s="8"/>
      <c r="P55" s="8"/>
      <c r="Q55" s="8"/>
    </row>
    <row r="56" customFormat="false" ht="15" hidden="false" customHeight="false" outlineLevel="0" collapsed="false">
      <c r="B56" s="12" t="s">
        <v>64</v>
      </c>
      <c r="C56" s="13" t="n">
        <f aca="false">C54+C53+C55</f>
        <v>18488</v>
      </c>
      <c r="D56" s="13" t="n">
        <f aca="false">D54+D53+D55</f>
        <v>16159</v>
      </c>
      <c r="E56" s="13" t="n">
        <f aca="false">E54+E53+E55</f>
        <v>10132</v>
      </c>
      <c r="F56" s="13" t="n">
        <f aca="false">F54+F53+F55</f>
        <v>13404</v>
      </c>
      <c r="G56" s="13" t="n">
        <f aca="false">G54+G53+G55</f>
        <v>29192</v>
      </c>
      <c r="H56" s="13" t="n">
        <f aca="false">H54+H53+H55</f>
        <v>19720</v>
      </c>
      <c r="I56" s="13" t="n">
        <f aca="false">I54+I53+I55</f>
        <v>25510</v>
      </c>
      <c r="J56" s="13" t="n">
        <f aca="false">J54+J53+J55</f>
        <v>18213</v>
      </c>
      <c r="K56" s="13" t="n">
        <f aca="false">K54+K53+K55</f>
        <v>20264</v>
      </c>
      <c r="L56" s="13" t="n">
        <f aca="false">L54+L53+L55</f>
        <v>25510</v>
      </c>
      <c r="M56" s="13" t="n">
        <f aca="false">M54+M53+M55</f>
        <v>25510</v>
      </c>
      <c r="N56" s="13" t="n">
        <f aca="false">N54+N53+N55</f>
        <v>25510</v>
      </c>
      <c r="O56" s="13" t="n">
        <f aca="false">O54+O53+O55</f>
        <v>25510</v>
      </c>
      <c r="P56" s="13" t="n">
        <f aca="false">P54+P53+P55</f>
        <v>25510</v>
      </c>
      <c r="Q56" s="13" t="n">
        <f aca="false">Q54+Q53+Q55</f>
        <v>25510</v>
      </c>
    </row>
    <row r="58" customFormat="false" ht="15" hidden="false" customHeight="false" outlineLevel="0" collapsed="false">
      <c r="B58" s="16" t="s">
        <v>65</v>
      </c>
      <c r="C58" s="17" t="n">
        <f aca="false">IF(ISBLANK('Situacion Financiera'!C6),"",C56-'Situacion Financiera'!C6)</f>
        <v>0</v>
      </c>
      <c r="D58" s="17" t="n">
        <f aca="false">IF(ISBLANK('Situacion Financiera'!D6),"",D56-'Situacion Financiera'!D6)</f>
        <v>0</v>
      </c>
      <c r="E58" s="17" t="n">
        <f aca="false">IF(ISBLANK('Situacion Financiera'!E6),"",E56-'Situacion Financiera'!E6)</f>
        <v>0</v>
      </c>
      <c r="F58" s="17" t="n">
        <f aca="false">IF(ISBLANK('Situacion Financiera'!F6),"",F56-'Situacion Financiera'!F6)</f>
        <v>0</v>
      </c>
      <c r="G58" s="17" t="n">
        <f aca="false">IF(ISBLANK('Situacion Financiera'!G6),"",G56-'Situacion Financiera'!G6)</f>
        <v>0</v>
      </c>
      <c r="H58" s="17" t="n">
        <f aca="false">IF(ISBLANK('Situacion Financiera'!H6),"",H56-'Situacion Financiera'!H6)</f>
        <v>0</v>
      </c>
      <c r="I58" s="17" t="n">
        <f aca="false">IF(ISBLANK('Situacion Financiera'!I6),"",I56-'Situacion Financiera'!I6)</f>
        <v>0</v>
      </c>
      <c r="J58" s="17" t="n">
        <f aca="false">IF(ISBLANK('Situacion Financiera'!J6),"",J56-'Situacion Financiera'!J6)</f>
        <v>0</v>
      </c>
      <c r="K58" s="17" t="n">
        <f aca="false">IF(ISBLANK('Situacion Financiera'!K6),"",K56-'Situacion Financiera'!K6)</f>
        <v>0</v>
      </c>
      <c r="L58" s="17" t="str">
        <f aca="false">IF(ISBLANK('Situacion Financiera'!L6),"",L56-'Situacion Financiera'!L6)</f>
        <v/>
      </c>
      <c r="M58" s="17" t="str">
        <f aca="false">IF(ISBLANK('Situacion Financiera'!M6),"",M56-'Situacion Financiera'!M6)</f>
        <v/>
      </c>
      <c r="N58" s="17" t="str">
        <f aca="false">IF(ISBLANK('Situacion Financiera'!N6),"",N56-'Situacion Financiera'!N6)</f>
        <v/>
      </c>
      <c r="O58" s="17" t="str">
        <f aca="false">IF(ISBLANK('Situacion Financiera'!O6),"",O56-'Situacion Financiera'!O6)</f>
        <v/>
      </c>
      <c r="P58" s="17" t="str">
        <f aca="false">IF(ISBLANK('Situacion Financiera'!P6),"",P56-'Situacion Financiera'!P6)</f>
        <v/>
      </c>
      <c r="Q58" s="17" t="str">
        <f aca="false">IF(ISBLANK('Situacion Financiera'!Q6),"",Q56-'Situacion Financiera'!Q6)</f>
        <v/>
      </c>
    </row>
  </sheetData>
  <mergeCells count="5">
    <mergeCell ref="B1:Q1"/>
    <mergeCell ref="B2:Q2"/>
    <mergeCell ref="B6:Q6"/>
    <mergeCell ref="B34:Q34"/>
    <mergeCell ref="B41:Q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Q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17" min="3" style="0" width="13"/>
  </cols>
  <sheetData>
    <row r="1" customFormat="false" ht="21.75" hidden="false" customHeight="true" outlineLevel="0" collapsed="false">
      <c r="B1" s="1" t="s">
        <v>66</v>
      </c>
      <c r="C1" s="1"/>
      <c r="D1" s="1"/>
      <c r="E1" s="1"/>
      <c r="F1" s="1"/>
      <c r="G1" s="1"/>
      <c r="H1" s="1"/>
      <c r="I1" s="1"/>
      <c r="J1" s="1"/>
      <c r="K1" s="1"/>
      <c r="L1" s="1"/>
      <c r="M1" s="1"/>
      <c r="N1" s="1"/>
      <c r="O1" s="1"/>
      <c r="P1" s="1"/>
      <c r="Q1" s="1"/>
    </row>
    <row r="2" customFormat="false" ht="15" hidden="false" customHeight="false" outlineLevel="0" collapsed="false">
      <c r="B2" s="2" t="s">
        <v>67</v>
      </c>
      <c r="C2" s="2"/>
      <c r="D2" s="2"/>
      <c r="E2" s="2"/>
      <c r="F2" s="2"/>
      <c r="G2" s="2"/>
      <c r="H2" s="2"/>
      <c r="I2" s="2"/>
      <c r="J2" s="2"/>
      <c r="K2" s="2"/>
      <c r="L2" s="2"/>
      <c r="M2" s="2"/>
      <c r="N2" s="2"/>
      <c r="O2" s="2"/>
      <c r="P2" s="2"/>
      <c r="Q2" s="2"/>
    </row>
    <row r="4" customFormat="false" ht="15.75" hidden="false" customHeight="true" outlineLevel="0" collapsed="false">
      <c r="B4" s="3" t="s">
        <v>2</v>
      </c>
      <c r="C4" s="4" t="s">
        <v>3</v>
      </c>
      <c r="D4" s="4" t="s">
        <v>4</v>
      </c>
      <c r="E4" s="4" t="s">
        <v>5</v>
      </c>
      <c r="F4" s="4" t="s">
        <v>6</v>
      </c>
      <c r="G4" s="4" t="s">
        <v>7</v>
      </c>
      <c r="H4" s="4" t="s">
        <v>8</v>
      </c>
      <c r="I4" s="4" t="s">
        <v>9</v>
      </c>
      <c r="J4" s="4" t="s">
        <v>10</v>
      </c>
      <c r="K4" s="4" t="s">
        <v>11</v>
      </c>
      <c r="L4" s="4" t="s">
        <v>12</v>
      </c>
      <c r="M4" s="4" t="s">
        <v>13</v>
      </c>
      <c r="N4" s="4" t="s">
        <v>14</v>
      </c>
      <c r="O4" s="4" t="s">
        <v>15</v>
      </c>
      <c r="P4" s="4" t="s">
        <v>16</v>
      </c>
      <c r="Q4" s="4" t="s">
        <v>17</v>
      </c>
    </row>
    <row r="5" customFormat="false" ht="15" hidden="false" customHeight="false" outlineLevel="0" collapsed="false">
      <c r="B5" s="5" t="s">
        <v>68</v>
      </c>
      <c r="C5" s="5"/>
      <c r="D5" s="5"/>
      <c r="E5" s="5"/>
      <c r="F5" s="5"/>
      <c r="G5" s="5"/>
      <c r="H5" s="5"/>
      <c r="I5" s="5"/>
      <c r="J5" s="5"/>
      <c r="K5" s="5"/>
      <c r="L5" s="5"/>
      <c r="M5" s="5"/>
      <c r="N5" s="5"/>
      <c r="O5" s="5"/>
      <c r="P5" s="5"/>
      <c r="Q5" s="5"/>
    </row>
    <row r="6" customFormat="false" ht="15" hidden="false" customHeight="false" outlineLevel="0" collapsed="false">
      <c r="B6" s="9" t="s">
        <v>69</v>
      </c>
      <c r="C6" s="10" t="n">
        <v>18488</v>
      </c>
      <c r="D6" s="10" t="n">
        <v>16159</v>
      </c>
      <c r="E6" s="10" t="n">
        <v>10132</v>
      </c>
      <c r="F6" s="10" t="n">
        <v>13404</v>
      </c>
      <c r="G6" s="10" t="n">
        <v>29192</v>
      </c>
      <c r="H6" s="10" t="n">
        <v>19720</v>
      </c>
      <c r="I6" s="10" t="n">
        <v>25510</v>
      </c>
      <c r="J6" s="10" t="n">
        <v>18213</v>
      </c>
      <c r="K6" s="10" t="n">
        <v>20264</v>
      </c>
      <c r="L6" s="8"/>
      <c r="M6" s="8"/>
      <c r="N6" s="8"/>
      <c r="O6" s="8"/>
      <c r="P6" s="8"/>
      <c r="Q6" s="8"/>
    </row>
    <row r="7" customFormat="false" ht="15" hidden="false" customHeight="false" outlineLevel="0" collapsed="false">
      <c r="B7" s="9" t="s">
        <v>70</v>
      </c>
      <c r="C7" s="10" t="n">
        <v>87655</v>
      </c>
      <c r="D7" s="10" t="n">
        <v>84151</v>
      </c>
      <c r="E7" s="10" t="n">
        <v>86431</v>
      </c>
      <c r="F7" s="10" t="n">
        <v>85574</v>
      </c>
      <c r="G7" s="10" t="n">
        <v>79021</v>
      </c>
      <c r="H7" s="10" t="n">
        <v>77588</v>
      </c>
      <c r="I7" s="10" t="n">
        <v>81197</v>
      </c>
      <c r="J7" s="10" t="n">
        <v>82127</v>
      </c>
      <c r="K7" s="10" t="n">
        <v>84205</v>
      </c>
      <c r="L7" s="8"/>
      <c r="M7" s="8"/>
      <c r="N7" s="8"/>
      <c r="O7" s="8"/>
      <c r="P7" s="8"/>
      <c r="Q7" s="8"/>
    </row>
    <row r="8" customFormat="false" ht="15" hidden="false" customHeight="false" outlineLevel="0" collapsed="false">
      <c r="B8" s="9" t="s">
        <v>71</v>
      </c>
      <c r="C8" s="10" t="n">
        <v>44547</v>
      </c>
      <c r="D8" s="10" t="n">
        <v>2711</v>
      </c>
      <c r="E8" s="10" t="n">
        <v>27406</v>
      </c>
      <c r="F8" s="10" t="n">
        <v>27333</v>
      </c>
      <c r="G8" s="10" t="n">
        <v>27029</v>
      </c>
      <c r="H8" s="10" t="n">
        <v>16824</v>
      </c>
      <c r="I8" s="10" t="n">
        <v>11855</v>
      </c>
      <c r="J8" s="10" t="n">
        <v>11612</v>
      </c>
      <c r="K8" s="10" t="n">
        <v>12320</v>
      </c>
      <c r="L8" s="8"/>
      <c r="M8" s="8"/>
      <c r="N8" s="8"/>
      <c r="O8" s="8"/>
      <c r="P8" s="8"/>
      <c r="Q8" s="8"/>
    </row>
    <row r="9" customFormat="false" ht="15" hidden="false" customHeight="false" outlineLevel="0" collapsed="false">
      <c r="B9" s="9" t="s">
        <v>72</v>
      </c>
      <c r="C9" s="10" t="n">
        <v>2574</v>
      </c>
      <c r="D9" s="10" t="n">
        <v>2883</v>
      </c>
      <c r="E9" s="10" t="n">
        <v>2664</v>
      </c>
      <c r="F9" s="10" t="n">
        <v>2846</v>
      </c>
      <c r="G9" s="10" t="n">
        <v>2846</v>
      </c>
      <c r="H9" s="10" t="n">
        <v>3547</v>
      </c>
      <c r="I9" s="10" t="n">
        <v>6716</v>
      </c>
      <c r="J9" s="10" t="n">
        <v>6632</v>
      </c>
      <c r="K9" s="10" t="n">
        <v>5695</v>
      </c>
      <c r="L9" s="8"/>
      <c r="M9" s="8"/>
      <c r="N9" s="8"/>
      <c r="O9" s="8"/>
      <c r="P9" s="8"/>
      <c r="Q9" s="8"/>
    </row>
    <row r="10" customFormat="false" ht="15" hidden="false" customHeight="false" outlineLevel="0" collapsed="false">
      <c r="B10" s="9" t="s">
        <v>73</v>
      </c>
      <c r="C10" s="10" t="n">
        <v>4566</v>
      </c>
      <c r="D10" s="10" t="n">
        <v>4795</v>
      </c>
      <c r="E10" s="10" t="n">
        <v>6668</v>
      </c>
      <c r="F10" s="10" t="n">
        <v>6912</v>
      </c>
      <c r="G10" s="10" t="n">
        <v>8878</v>
      </c>
      <c r="H10" s="10" t="n">
        <v>9069</v>
      </c>
      <c r="I10" s="10" t="n">
        <v>11173</v>
      </c>
      <c r="J10" s="10" t="n">
        <v>10608</v>
      </c>
      <c r="K10" s="10" t="n">
        <v>14390</v>
      </c>
      <c r="L10" s="8"/>
      <c r="M10" s="8"/>
      <c r="N10" s="8"/>
      <c r="O10" s="8"/>
      <c r="P10" s="8"/>
      <c r="Q10" s="8"/>
    </row>
    <row r="11" customFormat="false" ht="15" hidden="false" customHeight="false" outlineLevel="0" collapsed="false">
      <c r="B11" s="9" t="s">
        <v>74</v>
      </c>
      <c r="C11" s="10" t="n">
        <v>4135</v>
      </c>
      <c r="D11" s="10" t="n">
        <v>4017</v>
      </c>
      <c r="E11" s="10" t="n">
        <v>5722</v>
      </c>
      <c r="F11" s="10" t="n">
        <v>5404</v>
      </c>
      <c r="G11" s="10" t="n">
        <v>4902</v>
      </c>
      <c r="H11" s="10" t="n">
        <v>3664</v>
      </c>
      <c r="I11" s="10" t="n">
        <v>6416</v>
      </c>
      <c r="J11" s="10" t="n">
        <v>5952</v>
      </c>
      <c r="K11" s="10" t="n">
        <v>6378</v>
      </c>
      <c r="L11" s="8"/>
      <c r="M11" s="8"/>
      <c r="N11" s="8"/>
      <c r="O11" s="8"/>
      <c r="P11" s="8"/>
      <c r="Q11" s="8"/>
    </row>
    <row r="12" customFormat="false" ht="15" hidden="false" customHeight="false" outlineLevel="0" collapsed="false">
      <c r="B12" s="12" t="s">
        <v>75</v>
      </c>
      <c r="C12" s="13" t="n">
        <f aca="false">SUM(C6:C11)</f>
        <v>161965</v>
      </c>
      <c r="D12" s="13" t="n">
        <f aca="false">SUM(D6:D11)</f>
        <v>114716</v>
      </c>
      <c r="E12" s="13" t="n">
        <f aca="false">SUM(E6:E11)</f>
        <v>139023</v>
      </c>
      <c r="F12" s="13" t="n">
        <f aca="false">SUM(F6:F11)</f>
        <v>141473</v>
      </c>
      <c r="G12" s="13" t="n">
        <f aca="false">SUM(G6:G11)</f>
        <v>151868</v>
      </c>
      <c r="H12" s="13" t="n">
        <f aca="false">SUM(H6:H11)</f>
        <v>130412</v>
      </c>
      <c r="I12" s="13" t="n">
        <f aca="false">SUM(I6:I11)</f>
        <v>142867</v>
      </c>
      <c r="J12" s="13" t="n">
        <f aca="false">SUM(J6:J11)</f>
        <v>135144</v>
      </c>
      <c r="K12" s="13" t="n">
        <f aca="false">SUM(K6:K11)</f>
        <v>143252</v>
      </c>
      <c r="L12" s="13" t="n">
        <f aca="false">SUM(L6:L11)</f>
        <v>0</v>
      </c>
      <c r="M12" s="13" t="n">
        <f aca="false">SUM(M6:M11)</f>
        <v>0</v>
      </c>
      <c r="N12" s="13" t="n">
        <f aca="false">SUM(N6:N11)</f>
        <v>0</v>
      </c>
      <c r="O12" s="13" t="n">
        <f aca="false">SUM(O6:O11)</f>
        <v>0</v>
      </c>
      <c r="P12" s="13" t="n">
        <f aca="false">SUM(P6:P11)</f>
        <v>0</v>
      </c>
      <c r="Q12" s="13" t="n">
        <f aca="false">SUM(Q6:Q11)</f>
        <v>0</v>
      </c>
    </row>
    <row r="14" customFormat="false" ht="15" hidden="false" customHeight="false" outlineLevel="0" collapsed="false">
      <c r="B14" s="11" t="s">
        <v>76</v>
      </c>
    </row>
    <row r="15" customFormat="false" ht="15" hidden="false" customHeight="false" outlineLevel="0" collapsed="false">
      <c r="B15" s="9" t="s">
        <v>77</v>
      </c>
      <c r="C15" s="10" t="n">
        <v>391</v>
      </c>
      <c r="D15" s="10" t="n">
        <v>364</v>
      </c>
      <c r="E15" s="10" t="n">
        <v>366</v>
      </c>
      <c r="F15" s="10" t="n">
        <v>363</v>
      </c>
      <c r="G15" s="10" t="n">
        <v>357</v>
      </c>
      <c r="H15" s="10" t="n">
        <v>148</v>
      </c>
      <c r="I15" s="10" t="n">
        <v>143</v>
      </c>
      <c r="J15" s="10" t="n">
        <v>149</v>
      </c>
      <c r="K15" s="10" t="n">
        <v>146</v>
      </c>
      <c r="L15" s="8"/>
      <c r="M15" s="8"/>
      <c r="N15" s="8"/>
      <c r="O15" s="8"/>
      <c r="P15" s="8"/>
      <c r="Q15" s="8"/>
    </row>
    <row r="16" customFormat="false" ht="15" hidden="false" customHeight="false" outlineLevel="0" collapsed="false">
      <c r="B16" s="9" t="s">
        <v>71</v>
      </c>
      <c r="C16" s="10" t="n">
        <v>13048</v>
      </c>
      <c r="D16" s="10" t="n">
        <v>39588</v>
      </c>
      <c r="E16" s="10" t="n">
        <v>14385</v>
      </c>
      <c r="F16" s="10" t="n">
        <v>14490</v>
      </c>
      <c r="G16" s="10" t="n">
        <v>14597</v>
      </c>
      <c r="H16" s="10" t="n">
        <v>14706</v>
      </c>
      <c r="I16" s="10" t="n">
        <v>14816</v>
      </c>
      <c r="J16" s="10" t="n">
        <v>14925</v>
      </c>
      <c r="K16" s="10" t="n">
        <v>15035</v>
      </c>
      <c r="L16" s="8"/>
      <c r="M16" s="8"/>
      <c r="N16" s="8"/>
      <c r="O16" s="8"/>
      <c r="P16" s="8"/>
      <c r="Q16" s="8"/>
    </row>
    <row r="17" customFormat="false" ht="15" hidden="false" customHeight="false" outlineLevel="0" collapsed="false">
      <c r="B17" s="9" t="s">
        <v>78</v>
      </c>
      <c r="C17" s="10" t="n">
        <v>518774</v>
      </c>
      <c r="D17" s="10" t="n">
        <v>573565</v>
      </c>
      <c r="E17" s="10" t="n">
        <v>639383</v>
      </c>
      <c r="F17" s="10" t="n">
        <v>654531</v>
      </c>
      <c r="G17" s="10" t="n">
        <v>673417</v>
      </c>
      <c r="H17" s="10" t="n">
        <v>701260</v>
      </c>
      <c r="I17" s="10" t="n">
        <v>730426</v>
      </c>
      <c r="J17" s="10" t="n">
        <v>746100</v>
      </c>
      <c r="K17" s="10" t="n">
        <v>761918</v>
      </c>
      <c r="L17" s="8"/>
      <c r="M17" s="8"/>
      <c r="N17" s="8"/>
      <c r="O17" s="8"/>
      <c r="P17" s="8"/>
      <c r="Q17" s="8"/>
    </row>
    <row r="18" customFormat="false" ht="15" hidden="false" customHeight="false" outlineLevel="0" collapsed="false">
      <c r="B18" s="9" t="s">
        <v>79</v>
      </c>
      <c r="C18" s="10" t="n">
        <v>111157</v>
      </c>
      <c r="D18" s="10" t="n">
        <v>88938</v>
      </c>
      <c r="E18" s="10" t="n">
        <v>118201</v>
      </c>
      <c r="F18" s="10" t="n">
        <v>110832</v>
      </c>
      <c r="G18" s="10" t="n">
        <v>103511</v>
      </c>
      <c r="H18" s="10" t="n">
        <v>96362</v>
      </c>
      <c r="I18" s="10" t="n">
        <v>88963</v>
      </c>
      <c r="J18" s="10" t="n">
        <v>81631</v>
      </c>
      <c r="K18" s="10" t="n">
        <v>75915</v>
      </c>
      <c r="L18" s="8"/>
      <c r="M18" s="8"/>
      <c r="N18" s="8"/>
      <c r="O18" s="8"/>
      <c r="P18" s="8"/>
      <c r="Q18" s="8"/>
    </row>
    <row r="19" customFormat="false" ht="15" hidden="false" customHeight="false" outlineLevel="0" collapsed="false">
      <c r="B19" s="9" t="s">
        <v>80</v>
      </c>
      <c r="C19" s="10" t="n">
        <v>8493</v>
      </c>
      <c r="D19" s="10" t="n">
        <v>8847</v>
      </c>
      <c r="E19" s="10" t="n">
        <v>14888</v>
      </c>
      <c r="F19" s="10" t="n">
        <v>14136</v>
      </c>
      <c r="G19" s="10" t="n">
        <v>15033</v>
      </c>
      <c r="H19" s="10" t="n">
        <v>15071</v>
      </c>
      <c r="I19" s="10" t="n">
        <v>15288</v>
      </c>
      <c r="J19" s="10" t="n">
        <v>15383</v>
      </c>
      <c r="K19" s="10" t="n">
        <v>16687</v>
      </c>
      <c r="L19" s="8"/>
      <c r="M19" s="8"/>
      <c r="N19" s="8"/>
      <c r="O19" s="8"/>
      <c r="P19" s="8"/>
      <c r="Q19" s="8"/>
    </row>
    <row r="20" customFormat="false" ht="15" hidden="false" customHeight="false" outlineLevel="0" collapsed="false">
      <c r="B20" s="12" t="s">
        <v>81</v>
      </c>
      <c r="C20" s="13" t="n">
        <f aca="false">SUM(C15:C19)</f>
        <v>651863</v>
      </c>
      <c r="D20" s="13" t="n">
        <f aca="false">SUM(D15:D19)</f>
        <v>711302</v>
      </c>
      <c r="E20" s="13" t="n">
        <f aca="false">SUM(E15:E19)</f>
        <v>787223</v>
      </c>
      <c r="F20" s="13" t="n">
        <f aca="false">SUM(F15:F19)</f>
        <v>794352</v>
      </c>
      <c r="G20" s="13" t="n">
        <f aca="false">SUM(G15:G19)</f>
        <v>806915</v>
      </c>
      <c r="H20" s="13" t="n">
        <f aca="false">SUM(H15:H19)</f>
        <v>827547</v>
      </c>
      <c r="I20" s="13" t="n">
        <f aca="false">SUM(I15:I19)</f>
        <v>849636</v>
      </c>
      <c r="J20" s="13" t="n">
        <f aca="false">SUM(J15:J19)</f>
        <v>858188</v>
      </c>
      <c r="K20" s="13" t="n">
        <f aca="false">SUM(K15:K19)</f>
        <v>869701</v>
      </c>
      <c r="L20" s="13" t="n">
        <f aca="false">SUM(L15:L19)</f>
        <v>0</v>
      </c>
      <c r="M20" s="13" t="n">
        <f aca="false">SUM(M15:M19)</f>
        <v>0</v>
      </c>
      <c r="N20" s="13" t="n">
        <f aca="false">SUM(N15:N19)</f>
        <v>0</v>
      </c>
      <c r="O20" s="13" t="n">
        <f aca="false">SUM(O15:O19)</f>
        <v>0</v>
      </c>
      <c r="P20" s="13" t="n">
        <f aca="false">SUM(P15:P19)</f>
        <v>0</v>
      </c>
      <c r="Q20" s="13" t="n">
        <f aca="false">SUM(Q15:Q19)</f>
        <v>0</v>
      </c>
    </row>
    <row r="21" customFormat="false" ht="15" hidden="false" customHeight="false" outlineLevel="0" collapsed="false">
      <c r="B21" s="12" t="s">
        <v>82</v>
      </c>
      <c r="C21" s="13" t="n">
        <f aca="false">C12+C20</f>
        <v>813828</v>
      </c>
      <c r="D21" s="13" t="n">
        <f aca="false">D12+D20</f>
        <v>826018</v>
      </c>
      <c r="E21" s="13" t="n">
        <f aca="false">E12+E20</f>
        <v>926246</v>
      </c>
      <c r="F21" s="13" t="n">
        <f aca="false">F12+F20</f>
        <v>935825</v>
      </c>
      <c r="G21" s="13" t="n">
        <f aca="false">G12+G20</f>
        <v>958783</v>
      </c>
      <c r="H21" s="13" t="n">
        <f aca="false">H12+H20</f>
        <v>957959</v>
      </c>
      <c r="I21" s="13" t="n">
        <f aca="false">I12+I20</f>
        <v>992503</v>
      </c>
      <c r="J21" s="13" t="n">
        <f aca="false">J12+J20</f>
        <v>993332</v>
      </c>
      <c r="K21" s="13" t="n">
        <f aca="false">K12+K20</f>
        <v>1012953</v>
      </c>
      <c r="L21" s="13" t="n">
        <f aca="false">L12+L20</f>
        <v>0</v>
      </c>
      <c r="M21" s="13" t="n">
        <f aca="false">M12+M20</f>
        <v>0</v>
      </c>
      <c r="N21" s="13" t="n">
        <f aca="false">N12+N20</f>
        <v>0</v>
      </c>
      <c r="O21" s="13" t="n">
        <f aca="false">O12+O20</f>
        <v>0</v>
      </c>
      <c r="P21" s="13" t="n">
        <f aca="false">P12+P20</f>
        <v>0</v>
      </c>
      <c r="Q21" s="13" t="n">
        <f aca="false">Q12+Q20</f>
        <v>0</v>
      </c>
    </row>
    <row r="23" customFormat="false" ht="15" hidden="false" customHeight="false" outlineLevel="0" collapsed="false">
      <c r="B23" s="5" t="s">
        <v>83</v>
      </c>
      <c r="C23" s="5"/>
      <c r="D23" s="5"/>
      <c r="E23" s="5"/>
      <c r="F23" s="5"/>
      <c r="G23" s="5"/>
      <c r="H23" s="5"/>
      <c r="I23" s="5"/>
      <c r="J23" s="5"/>
      <c r="K23" s="5"/>
      <c r="L23" s="5"/>
      <c r="M23" s="5"/>
      <c r="N23" s="5"/>
      <c r="O23" s="5"/>
      <c r="P23" s="5"/>
      <c r="Q23" s="5"/>
    </row>
    <row r="24" customFormat="false" ht="15" hidden="false" customHeight="false" outlineLevel="0" collapsed="false">
      <c r="B24" s="11" t="s">
        <v>84</v>
      </c>
    </row>
    <row r="25" customFormat="false" ht="15" hidden="false" customHeight="false" outlineLevel="0" collapsed="false">
      <c r="B25" s="9" t="s">
        <v>85</v>
      </c>
      <c r="C25" s="10" t="n">
        <v>39581</v>
      </c>
      <c r="D25" s="10" t="n">
        <v>21226</v>
      </c>
      <c r="E25" s="10" t="n">
        <v>146516</v>
      </c>
      <c r="F25" s="10" t="n">
        <v>158063</v>
      </c>
      <c r="G25" s="10" t="n">
        <v>182173</v>
      </c>
      <c r="H25" s="10" t="n">
        <v>194528</v>
      </c>
      <c r="I25" s="10" t="n">
        <v>137330</v>
      </c>
      <c r="J25" s="10" t="n">
        <v>141070</v>
      </c>
      <c r="K25" s="10" t="n">
        <v>274421</v>
      </c>
      <c r="L25" s="8"/>
      <c r="M25" s="8"/>
      <c r="N25" s="8"/>
      <c r="O25" s="8"/>
      <c r="P25" s="8"/>
      <c r="Q25" s="8"/>
    </row>
    <row r="26" customFormat="false" ht="15" hidden="false" customHeight="false" outlineLevel="0" collapsed="false">
      <c r="B26" s="9" t="s">
        <v>86</v>
      </c>
      <c r="C26" s="10" t="n">
        <v>24195</v>
      </c>
      <c r="D26" s="10" t="n">
        <v>28429</v>
      </c>
      <c r="E26" s="10" t="n">
        <v>34392</v>
      </c>
      <c r="F26" s="10" t="n">
        <v>35285</v>
      </c>
      <c r="G26" s="10" t="n">
        <v>36236</v>
      </c>
      <c r="H26" s="10" t="n">
        <v>37269</v>
      </c>
      <c r="I26" s="10" t="n">
        <v>38094</v>
      </c>
      <c r="J26" s="10" t="n">
        <v>34247</v>
      </c>
      <c r="K26" s="10" t="n">
        <v>31110</v>
      </c>
      <c r="L26" s="8"/>
      <c r="M26" s="8"/>
      <c r="N26" s="8"/>
      <c r="O26" s="8"/>
      <c r="P26" s="8"/>
      <c r="Q26" s="8"/>
    </row>
    <row r="27" customFormat="false" ht="15" hidden="false" customHeight="false" outlineLevel="0" collapsed="false">
      <c r="B27" s="9" t="s">
        <v>87</v>
      </c>
      <c r="C27" s="10" t="n">
        <v>53792</v>
      </c>
      <c r="D27" s="10" t="n">
        <v>43989</v>
      </c>
      <c r="E27" s="10" t="n">
        <v>52610</v>
      </c>
      <c r="F27" s="10" t="n">
        <v>60056</v>
      </c>
      <c r="G27" s="10" t="n">
        <v>51029</v>
      </c>
      <c r="H27" s="10" t="n">
        <v>52162</v>
      </c>
      <c r="I27" s="10" t="n">
        <v>70205</v>
      </c>
      <c r="J27" s="10" t="n">
        <v>60850</v>
      </c>
      <c r="K27" s="10" t="n">
        <v>60528</v>
      </c>
      <c r="L27" s="8"/>
      <c r="M27" s="8"/>
      <c r="N27" s="8"/>
      <c r="O27" s="8"/>
      <c r="P27" s="8"/>
      <c r="Q27" s="8"/>
    </row>
    <row r="28" customFormat="false" ht="15" hidden="false" customHeight="false" outlineLevel="0" collapsed="false">
      <c r="B28" s="9" t="s">
        <v>88</v>
      </c>
      <c r="C28" s="10" t="n">
        <v>12024</v>
      </c>
      <c r="D28" s="10" t="n">
        <v>61022</v>
      </c>
      <c r="E28" s="10" t="n">
        <v>13914</v>
      </c>
      <c r="F28" s="10" t="n">
        <v>10490</v>
      </c>
      <c r="G28" s="10" t="n">
        <v>36829</v>
      </c>
      <c r="H28" s="10" t="n">
        <v>14275</v>
      </c>
      <c r="I28" s="10" t="n">
        <v>14942</v>
      </c>
      <c r="J28" s="10" t="n">
        <v>30975</v>
      </c>
      <c r="K28" s="10" t="n">
        <v>31963</v>
      </c>
      <c r="L28" s="8"/>
      <c r="M28" s="8"/>
      <c r="N28" s="8"/>
      <c r="O28" s="8"/>
      <c r="P28" s="8"/>
      <c r="Q28" s="8"/>
    </row>
    <row r="29" customFormat="false" ht="15" hidden="false" customHeight="false" outlineLevel="0" collapsed="false">
      <c r="B29" s="9" t="s">
        <v>89</v>
      </c>
      <c r="C29" s="10" t="n">
        <v>1307</v>
      </c>
      <c r="D29" s="10" t="n">
        <v>964</v>
      </c>
      <c r="E29" s="10" t="n">
        <v>2131</v>
      </c>
      <c r="F29" s="10" t="n">
        <v>3697</v>
      </c>
      <c r="G29" s="10" t="n">
        <v>3237</v>
      </c>
      <c r="H29" s="10" t="n">
        <v>3375</v>
      </c>
      <c r="I29" s="10" t="n">
        <v>22</v>
      </c>
      <c r="J29" s="10" t="n">
        <v>635</v>
      </c>
      <c r="K29" s="10" t="n">
        <v>0</v>
      </c>
      <c r="L29" s="8"/>
      <c r="M29" s="8"/>
      <c r="N29" s="8"/>
      <c r="O29" s="8"/>
      <c r="P29" s="8"/>
      <c r="Q29" s="8"/>
    </row>
    <row r="30" customFormat="false" ht="15" hidden="false" customHeight="false" outlineLevel="0" collapsed="false">
      <c r="B30" s="9" t="s">
        <v>90</v>
      </c>
      <c r="C30" s="10" t="n">
        <v>9228</v>
      </c>
      <c r="D30" s="10" t="n">
        <v>8618</v>
      </c>
      <c r="E30" s="10" t="n">
        <v>8933</v>
      </c>
      <c r="F30" s="10" t="n">
        <v>7913</v>
      </c>
      <c r="G30" s="10" t="n">
        <v>8305</v>
      </c>
      <c r="H30" s="10" t="n">
        <v>9557</v>
      </c>
      <c r="I30" s="10" t="n">
        <v>9847</v>
      </c>
      <c r="J30" s="10" t="n">
        <v>8062</v>
      </c>
      <c r="K30" s="10" t="n">
        <v>8201</v>
      </c>
      <c r="L30" s="8"/>
      <c r="M30" s="8"/>
      <c r="N30" s="8"/>
      <c r="O30" s="8"/>
      <c r="P30" s="8"/>
      <c r="Q30" s="8"/>
    </row>
    <row r="31" customFormat="false" ht="15" hidden="false" customHeight="false" outlineLevel="0" collapsed="false">
      <c r="B31" s="9" t="s">
        <v>91</v>
      </c>
      <c r="C31" s="10" t="n">
        <v>6675</v>
      </c>
      <c r="D31" s="10" t="n">
        <v>7645</v>
      </c>
      <c r="E31" s="10" t="n">
        <v>8552</v>
      </c>
      <c r="F31" s="10" t="n">
        <v>5462</v>
      </c>
      <c r="G31" s="10" t="n">
        <v>4425</v>
      </c>
      <c r="H31" s="10" t="n">
        <v>6472</v>
      </c>
      <c r="I31" s="10" t="n">
        <v>3398</v>
      </c>
      <c r="J31" s="10" t="n">
        <v>7217</v>
      </c>
      <c r="K31" s="10" t="n">
        <v>5886</v>
      </c>
      <c r="L31" s="8"/>
      <c r="M31" s="8"/>
      <c r="N31" s="8"/>
      <c r="O31" s="8"/>
      <c r="P31" s="8"/>
      <c r="Q31" s="8"/>
    </row>
    <row r="32" customFormat="false" ht="15" hidden="false" customHeight="false" outlineLevel="0" collapsed="false">
      <c r="B32" s="9" t="s">
        <v>92</v>
      </c>
      <c r="C32" s="10" t="n">
        <v>775</v>
      </c>
      <c r="D32" s="10" t="n">
        <v>786</v>
      </c>
      <c r="E32" s="10" t="n">
        <v>642</v>
      </c>
      <c r="F32" s="10" t="n">
        <v>1984</v>
      </c>
      <c r="G32" s="10" t="n">
        <v>2869</v>
      </c>
      <c r="H32" s="10" t="n">
        <v>3655</v>
      </c>
      <c r="I32" s="10" t="n">
        <v>1355</v>
      </c>
      <c r="J32" s="10" t="n">
        <v>1161</v>
      </c>
      <c r="K32" s="10" t="n">
        <v>1771</v>
      </c>
      <c r="L32" s="8"/>
      <c r="M32" s="8"/>
      <c r="N32" s="8"/>
      <c r="O32" s="8"/>
      <c r="P32" s="8"/>
      <c r="Q32" s="8"/>
    </row>
    <row r="33" customFormat="false" ht="15" hidden="false" customHeight="false" outlineLevel="0" collapsed="false">
      <c r="B33" s="12" t="s">
        <v>93</v>
      </c>
      <c r="C33" s="13" t="n">
        <f aca="false">SUM(C25:C32)</f>
        <v>147577</v>
      </c>
      <c r="D33" s="13" t="n">
        <f aca="false">SUM(D25:D32)</f>
        <v>172679</v>
      </c>
      <c r="E33" s="13" t="n">
        <f aca="false">SUM(E25:E32)</f>
        <v>267690</v>
      </c>
      <c r="F33" s="13" t="n">
        <f aca="false">SUM(F25:F32)</f>
        <v>282950</v>
      </c>
      <c r="G33" s="13" t="n">
        <f aca="false">SUM(G25:G32)</f>
        <v>325103</v>
      </c>
      <c r="H33" s="13" t="n">
        <f aca="false">SUM(H25:H32)</f>
        <v>321293</v>
      </c>
      <c r="I33" s="13" t="n">
        <f aca="false">SUM(I25:I32)</f>
        <v>275193</v>
      </c>
      <c r="J33" s="13" t="n">
        <f aca="false">SUM(J25:J32)</f>
        <v>284217</v>
      </c>
      <c r="K33" s="13" t="n">
        <f aca="false">SUM(K25:K32)</f>
        <v>413880</v>
      </c>
      <c r="L33" s="13" t="n">
        <f aca="false">SUM(L25:L32)</f>
        <v>0</v>
      </c>
      <c r="M33" s="13" t="n">
        <f aca="false">SUM(M25:M32)</f>
        <v>0</v>
      </c>
      <c r="N33" s="13" t="n">
        <f aca="false">SUM(N25:N32)</f>
        <v>0</v>
      </c>
      <c r="O33" s="13" t="n">
        <f aca="false">SUM(O25:O32)</f>
        <v>0</v>
      </c>
      <c r="P33" s="13" t="n">
        <f aca="false">SUM(P25:P32)</f>
        <v>0</v>
      </c>
      <c r="Q33" s="13" t="n">
        <f aca="false">SUM(Q25:Q32)</f>
        <v>0</v>
      </c>
    </row>
    <row r="35" customFormat="false" ht="15" hidden="false" customHeight="false" outlineLevel="0" collapsed="false">
      <c r="B35" s="11" t="s">
        <v>94</v>
      </c>
    </row>
    <row r="36" customFormat="false" ht="15" hidden="false" customHeight="false" outlineLevel="0" collapsed="false">
      <c r="B36" s="9" t="s">
        <v>85</v>
      </c>
      <c r="C36" s="10" t="n">
        <v>295391</v>
      </c>
      <c r="D36" s="10" t="n">
        <v>295110</v>
      </c>
      <c r="E36" s="10" t="n">
        <v>229798</v>
      </c>
      <c r="F36" s="10" t="n">
        <v>229821</v>
      </c>
      <c r="G36" s="10" t="n">
        <v>229847</v>
      </c>
      <c r="H36" s="10" t="n">
        <v>229886</v>
      </c>
      <c r="I36" s="10" t="n">
        <v>330317</v>
      </c>
      <c r="J36" s="10" t="n">
        <v>331540</v>
      </c>
      <c r="K36" s="10" t="n">
        <v>229973</v>
      </c>
      <c r="L36" s="8"/>
      <c r="M36" s="8"/>
      <c r="N36" s="8"/>
      <c r="O36" s="8"/>
      <c r="P36" s="8"/>
      <c r="Q36" s="8"/>
    </row>
    <row r="37" customFormat="false" ht="15" hidden="false" customHeight="false" outlineLevel="0" collapsed="false">
      <c r="B37" s="9" t="s">
        <v>86</v>
      </c>
      <c r="C37" s="10" t="n">
        <v>122030</v>
      </c>
      <c r="D37" s="10" t="n">
        <v>95381</v>
      </c>
      <c r="E37" s="10" t="n">
        <v>115294</v>
      </c>
      <c r="F37" s="10" t="n">
        <v>105872</v>
      </c>
      <c r="G37" s="10" t="n">
        <v>96215</v>
      </c>
      <c r="H37" s="10" t="n">
        <v>86601</v>
      </c>
      <c r="I37" s="10" t="n">
        <v>76718</v>
      </c>
      <c r="J37" s="10" t="n">
        <v>71401</v>
      </c>
      <c r="K37" s="10" t="n">
        <v>66503</v>
      </c>
      <c r="L37" s="8"/>
      <c r="M37" s="8"/>
      <c r="N37" s="8"/>
      <c r="O37" s="8"/>
      <c r="P37" s="8"/>
      <c r="Q37" s="8"/>
    </row>
    <row r="38" customFormat="false" ht="15" hidden="false" customHeight="false" outlineLevel="0" collapsed="false">
      <c r="B38" s="9" t="s">
        <v>88</v>
      </c>
      <c r="C38" s="10" t="n">
        <v>302</v>
      </c>
      <c r="D38" s="10" t="n">
        <v>271</v>
      </c>
      <c r="E38" s="10" t="n">
        <v>43981</v>
      </c>
      <c r="F38" s="10" t="n">
        <v>42897</v>
      </c>
      <c r="G38" s="10" t="n">
        <v>41390</v>
      </c>
      <c r="H38" s="10" t="n">
        <v>40539</v>
      </c>
      <c r="I38" s="10" t="n">
        <v>39266</v>
      </c>
      <c r="J38" s="10" t="n">
        <v>40746</v>
      </c>
      <c r="K38" s="10" t="n">
        <v>39799</v>
      </c>
      <c r="L38" s="8"/>
      <c r="M38" s="8"/>
      <c r="N38" s="8"/>
      <c r="O38" s="8"/>
      <c r="P38" s="8"/>
      <c r="Q38" s="8"/>
    </row>
    <row r="39" customFormat="false" ht="15" hidden="false" customHeight="false" outlineLevel="0" collapsed="false">
      <c r="B39" s="9" t="s">
        <v>91</v>
      </c>
      <c r="C39" s="10" t="n">
        <v>13699</v>
      </c>
      <c r="D39" s="10" t="n">
        <v>15026</v>
      </c>
      <c r="E39" s="10" t="n">
        <v>19472</v>
      </c>
      <c r="F39" s="10" t="n">
        <v>22234</v>
      </c>
      <c r="G39" s="10" t="n">
        <v>22828</v>
      </c>
      <c r="H39" s="10" t="n">
        <v>22824</v>
      </c>
      <c r="I39" s="10" t="n">
        <v>22471</v>
      </c>
      <c r="J39" s="10" t="n">
        <v>22640</v>
      </c>
      <c r="K39" s="10" t="n">
        <v>23637</v>
      </c>
      <c r="L39" s="8"/>
      <c r="M39" s="8"/>
      <c r="N39" s="8"/>
      <c r="O39" s="8"/>
      <c r="P39" s="8"/>
      <c r="Q39" s="8"/>
    </row>
    <row r="40" customFormat="false" ht="15" hidden="false" customHeight="false" outlineLevel="0" collapsed="false">
      <c r="B40" s="9" t="s">
        <v>92</v>
      </c>
      <c r="C40" s="10" t="n">
        <v>10216</v>
      </c>
      <c r="D40" s="10" t="n">
        <v>10728</v>
      </c>
      <c r="E40" s="10" t="n">
        <v>10028</v>
      </c>
      <c r="F40" s="10" t="n">
        <v>7882</v>
      </c>
      <c r="G40" s="10" t="n">
        <v>6904</v>
      </c>
      <c r="H40" s="10" t="n">
        <v>5019</v>
      </c>
      <c r="I40" s="10" t="n">
        <v>6193</v>
      </c>
      <c r="J40" s="10" t="n">
        <v>5460</v>
      </c>
      <c r="K40" s="10" t="n">
        <v>5603</v>
      </c>
      <c r="L40" s="8"/>
      <c r="M40" s="8"/>
      <c r="N40" s="8"/>
      <c r="O40" s="8"/>
      <c r="P40" s="8"/>
      <c r="Q40" s="8"/>
    </row>
    <row r="41" customFormat="false" ht="15" hidden="false" customHeight="false" outlineLevel="0" collapsed="false">
      <c r="B41" s="9" t="s">
        <v>95</v>
      </c>
      <c r="C41" s="10" t="n">
        <v>29208</v>
      </c>
      <c r="D41" s="10" t="n">
        <v>30462</v>
      </c>
      <c r="E41" s="10" t="n">
        <v>31312</v>
      </c>
      <c r="F41" s="10" t="n">
        <v>31528</v>
      </c>
      <c r="G41" s="10" t="n">
        <v>32299</v>
      </c>
      <c r="H41" s="10" t="n">
        <v>32563</v>
      </c>
      <c r="I41" s="10" t="n">
        <v>34486</v>
      </c>
      <c r="J41" s="10" t="n">
        <v>35053</v>
      </c>
      <c r="K41" s="10" t="n">
        <v>37162</v>
      </c>
      <c r="L41" s="8"/>
      <c r="M41" s="8"/>
      <c r="N41" s="8"/>
      <c r="O41" s="8"/>
      <c r="P41" s="8"/>
      <c r="Q41" s="8"/>
    </row>
    <row r="42" customFormat="false" ht="15" hidden="false" customHeight="false" outlineLevel="0" collapsed="false">
      <c r="B42" s="9" t="s">
        <v>96</v>
      </c>
      <c r="C42" s="10" t="n">
        <v>0</v>
      </c>
      <c r="D42" s="10" t="n">
        <v>186</v>
      </c>
      <c r="E42" s="10" t="n">
        <v>0</v>
      </c>
      <c r="F42" s="10" t="n">
        <v>0</v>
      </c>
      <c r="G42" s="10" t="n">
        <v>0</v>
      </c>
      <c r="H42" s="10" t="n">
        <v>0</v>
      </c>
      <c r="I42" s="10" t="n">
        <v>0</v>
      </c>
      <c r="J42" s="10" t="n">
        <v>0</v>
      </c>
      <c r="K42" s="10" t="n">
        <v>0</v>
      </c>
      <c r="L42" s="8"/>
      <c r="M42" s="8"/>
      <c r="N42" s="8"/>
      <c r="O42" s="8"/>
      <c r="P42" s="8"/>
      <c r="Q42" s="8"/>
    </row>
    <row r="43" customFormat="false" ht="15" hidden="false" customHeight="false" outlineLevel="0" collapsed="false">
      <c r="B43" s="12" t="s">
        <v>97</v>
      </c>
      <c r="C43" s="13" t="n">
        <f aca="false">SUM(C36:C42)</f>
        <v>470846</v>
      </c>
      <c r="D43" s="13" t="n">
        <f aca="false">SUM(D36:D42)</f>
        <v>447164</v>
      </c>
      <c r="E43" s="13" t="n">
        <f aca="false">SUM(E36:E42)</f>
        <v>449885</v>
      </c>
      <c r="F43" s="13" t="n">
        <f aca="false">SUM(F36:F42)</f>
        <v>440234</v>
      </c>
      <c r="G43" s="13" t="n">
        <f aca="false">SUM(G36:G42)</f>
        <v>429483</v>
      </c>
      <c r="H43" s="13" t="n">
        <f aca="false">SUM(H36:H42)</f>
        <v>417432</v>
      </c>
      <c r="I43" s="13" t="n">
        <f aca="false">SUM(I36:I42)</f>
        <v>509451</v>
      </c>
      <c r="J43" s="13" t="n">
        <f aca="false">SUM(J36:J42)</f>
        <v>506840</v>
      </c>
      <c r="K43" s="13" t="n">
        <f aca="false">SUM(K36:K42)</f>
        <v>402677</v>
      </c>
      <c r="L43" s="13" t="n">
        <f aca="false">SUM(L36:L42)</f>
        <v>0</v>
      </c>
      <c r="M43" s="13" t="n">
        <f aca="false">SUM(M36:M42)</f>
        <v>0</v>
      </c>
      <c r="N43" s="13" t="n">
        <f aca="false">SUM(N36:N42)</f>
        <v>0</v>
      </c>
      <c r="O43" s="13" t="n">
        <f aca="false">SUM(O36:O42)</f>
        <v>0</v>
      </c>
      <c r="P43" s="13" t="n">
        <f aca="false">SUM(P36:P42)</f>
        <v>0</v>
      </c>
      <c r="Q43" s="13" t="n">
        <f aca="false">SUM(Q36:Q42)</f>
        <v>0</v>
      </c>
    </row>
    <row r="44" customFormat="false" ht="15" hidden="false" customHeight="false" outlineLevel="0" collapsed="false">
      <c r="B44" s="12" t="s">
        <v>98</v>
      </c>
      <c r="C44" s="13" t="n">
        <f aca="false">C33+C43</f>
        <v>618423</v>
      </c>
      <c r="D44" s="13" t="n">
        <f aca="false">D33+D43</f>
        <v>619843</v>
      </c>
      <c r="E44" s="13" t="n">
        <f aca="false">E33+E43</f>
        <v>717575</v>
      </c>
      <c r="F44" s="13" t="n">
        <f aca="false">F33+F43</f>
        <v>723184</v>
      </c>
      <c r="G44" s="13" t="n">
        <f aca="false">G33+G43</f>
        <v>754586</v>
      </c>
      <c r="H44" s="13" t="n">
        <f aca="false">H33+H43</f>
        <v>738725</v>
      </c>
      <c r="I44" s="13" t="n">
        <f aca="false">I33+I43</f>
        <v>784644</v>
      </c>
      <c r="J44" s="13" t="n">
        <f aca="false">J33+J43</f>
        <v>791057</v>
      </c>
      <c r="K44" s="13" t="n">
        <f aca="false">K33+K43</f>
        <v>816557</v>
      </c>
      <c r="L44" s="13" t="n">
        <f aca="false">L33+L43</f>
        <v>0</v>
      </c>
      <c r="M44" s="13" t="n">
        <f aca="false">M33+M43</f>
        <v>0</v>
      </c>
      <c r="N44" s="13" t="n">
        <f aca="false">N33+N43</f>
        <v>0</v>
      </c>
      <c r="O44" s="13" t="n">
        <f aca="false">O33+O43</f>
        <v>0</v>
      </c>
      <c r="P44" s="13" t="n">
        <f aca="false">P33+P43</f>
        <v>0</v>
      </c>
      <c r="Q44" s="13" t="n">
        <f aca="false">Q33+Q43</f>
        <v>0</v>
      </c>
    </row>
    <row r="46" customFormat="false" ht="15" hidden="false" customHeight="false" outlineLevel="0" collapsed="false">
      <c r="B46" s="5" t="s">
        <v>99</v>
      </c>
      <c r="C46" s="5"/>
      <c r="D46" s="5"/>
      <c r="E46" s="5"/>
      <c r="F46" s="5"/>
      <c r="G46" s="5"/>
      <c r="H46" s="5"/>
      <c r="I46" s="5"/>
      <c r="J46" s="5"/>
      <c r="K46" s="5"/>
      <c r="L46" s="5"/>
      <c r="M46" s="5"/>
      <c r="N46" s="5"/>
      <c r="O46" s="5"/>
      <c r="P46" s="5"/>
      <c r="Q46" s="5"/>
    </row>
    <row r="47" customFormat="false" ht="15" hidden="false" customHeight="false" outlineLevel="0" collapsed="false">
      <c r="B47" s="9" t="s">
        <v>100</v>
      </c>
      <c r="C47" s="10" t="n">
        <v>170270</v>
      </c>
      <c r="D47" s="10" t="n">
        <v>170270</v>
      </c>
      <c r="E47" s="10" t="n">
        <v>170270</v>
      </c>
      <c r="F47" s="10" t="n">
        <v>170270</v>
      </c>
      <c r="G47" s="10" t="n">
        <v>170270</v>
      </c>
      <c r="H47" s="10" t="n">
        <v>170270</v>
      </c>
      <c r="I47" s="10" t="n">
        <v>170270</v>
      </c>
      <c r="J47" s="10" t="n">
        <v>170270</v>
      </c>
      <c r="K47" s="10" t="n">
        <v>170270</v>
      </c>
      <c r="L47" s="8"/>
      <c r="M47" s="8"/>
      <c r="N47" s="8"/>
      <c r="O47" s="8"/>
      <c r="P47" s="8"/>
      <c r="Q47" s="8"/>
    </row>
    <row r="48" customFormat="false" ht="15" hidden="false" customHeight="false" outlineLevel="0" collapsed="false">
      <c r="B48" s="9" t="s">
        <v>101</v>
      </c>
      <c r="C48" s="10" t="n">
        <v>-12845</v>
      </c>
      <c r="D48" s="10" t="n">
        <v>-12845</v>
      </c>
      <c r="E48" s="10" t="n">
        <v>-12845</v>
      </c>
      <c r="F48" s="10" t="n">
        <v>-12845</v>
      </c>
      <c r="G48" s="10" t="n">
        <v>-12845</v>
      </c>
      <c r="H48" s="10" t="n">
        <v>-12845</v>
      </c>
      <c r="I48" s="10" t="n">
        <v>-12845</v>
      </c>
      <c r="J48" s="10" t="n">
        <v>-12845</v>
      </c>
      <c r="K48" s="10" t="n">
        <v>-12845</v>
      </c>
      <c r="L48" s="8"/>
      <c r="M48" s="8"/>
      <c r="N48" s="8"/>
      <c r="O48" s="8"/>
      <c r="P48" s="8"/>
      <c r="Q48" s="8"/>
    </row>
    <row r="49" customFormat="false" ht="15" hidden="false" customHeight="false" outlineLevel="0" collapsed="false">
      <c r="B49" s="9" t="s">
        <v>102</v>
      </c>
      <c r="C49" s="10" t="n">
        <v>32706</v>
      </c>
      <c r="D49" s="10" t="n">
        <v>34054</v>
      </c>
      <c r="E49" s="10" t="n">
        <v>34054</v>
      </c>
      <c r="F49" s="10" t="n">
        <v>34054</v>
      </c>
      <c r="G49" s="10" t="n">
        <v>34054</v>
      </c>
      <c r="H49" s="10" t="n">
        <v>34054</v>
      </c>
      <c r="I49" s="10" t="n">
        <v>34054</v>
      </c>
      <c r="J49" s="10" t="n">
        <v>34054</v>
      </c>
      <c r="K49" s="10" t="n">
        <v>34054</v>
      </c>
      <c r="L49" s="8"/>
      <c r="M49" s="8"/>
      <c r="N49" s="8"/>
      <c r="O49" s="8"/>
      <c r="P49" s="8"/>
      <c r="Q49" s="8"/>
    </row>
    <row r="50" customFormat="false" ht="15" hidden="false" customHeight="false" outlineLevel="0" collapsed="false">
      <c r="B50" s="9" t="s">
        <v>103</v>
      </c>
      <c r="C50" s="10" t="n">
        <v>5274</v>
      </c>
      <c r="D50" s="10" t="n">
        <v>14696</v>
      </c>
      <c r="E50" s="10" t="n">
        <v>17192</v>
      </c>
      <c r="F50" s="10" t="n">
        <v>21162</v>
      </c>
      <c r="G50" s="10" t="n">
        <v>12718</v>
      </c>
      <c r="H50" s="10" t="n">
        <v>27755</v>
      </c>
      <c r="I50" s="10" t="n">
        <v>16380</v>
      </c>
      <c r="J50" s="10" t="n">
        <v>10796</v>
      </c>
      <c r="K50" s="10" t="n">
        <v>4917</v>
      </c>
      <c r="L50" s="8"/>
      <c r="M50" s="8"/>
      <c r="N50" s="8"/>
      <c r="O50" s="8"/>
      <c r="P50" s="8"/>
      <c r="Q50" s="8"/>
    </row>
    <row r="51" customFormat="false" ht="15" hidden="false" customHeight="false" outlineLevel="0" collapsed="false">
      <c r="B51" s="12" t="s">
        <v>104</v>
      </c>
      <c r="C51" s="13" t="n">
        <f aca="false">SUM(C47:C50)</f>
        <v>195405</v>
      </c>
      <c r="D51" s="13" t="n">
        <f aca="false">SUM(D47:D50)</f>
        <v>206175</v>
      </c>
      <c r="E51" s="13" t="n">
        <f aca="false">SUM(E47:E50)</f>
        <v>208671</v>
      </c>
      <c r="F51" s="13" t="n">
        <f aca="false">SUM(F47:F50)</f>
        <v>212641</v>
      </c>
      <c r="G51" s="13" t="n">
        <f aca="false">SUM(G47:G50)</f>
        <v>204197</v>
      </c>
      <c r="H51" s="13" t="n">
        <f aca="false">SUM(H47:H50)</f>
        <v>219234</v>
      </c>
      <c r="I51" s="13" t="n">
        <f aca="false">SUM(I47:I50)</f>
        <v>207859</v>
      </c>
      <c r="J51" s="13" t="n">
        <f aca="false">SUM(J47:J50)</f>
        <v>202275</v>
      </c>
      <c r="K51" s="13" t="n">
        <f aca="false">SUM(K47:K50)</f>
        <v>196396</v>
      </c>
      <c r="L51" s="13" t="n">
        <f aca="false">SUM(L47:L50)</f>
        <v>0</v>
      </c>
      <c r="M51" s="13" t="n">
        <f aca="false">SUM(M47:M50)</f>
        <v>0</v>
      </c>
      <c r="N51" s="13" t="n">
        <f aca="false">SUM(N47:N50)</f>
        <v>0</v>
      </c>
      <c r="O51" s="13" t="n">
        <f aca="false">SUM(O47:O50)</f>
        <v>0</v>
      </c>
      <c r="P51" s="13" t="n">
        <f aca="false">SUM(P47:P50)</f>
        <v>0</v>
      </c>
      <c r="Q51" s="13" t="n">
        <f aca="false">SUM(Q47:Q50)</f>
        <v>0</v>
      </c>
    </row>
    <row r="52" customFormat="false" ht="15" hidden="false" customHeight="false" outlineLevel="0" collapsed="false">
      <c r="B52" s="12" t="s">
        <v>105</v>
      </c>
      <c r="C52" s="13" t="n">
        <f aca="false">C44+C51</f>
        <v>813828</v>
      </c>
      <c r="D52" s="13" t="n">
        <f aca="false">D44+D51</f>
        <v>826018</v>
      </c>
      <c r="E52" s="13" t="n">
        <f aca="false">E44+E51</f>
        <v>926246</v>
      </c>
      <c r="F52" s="13" t="n">
        <f aca="false">F44+F51</f>
        <v>935825</v>
      </c>
      <c r="G52" s="13" t="n">
        <f aca="false">G44+G51</f>
        <v>958783</v>
      </c>
      <c r="H52" s="13" t="n">
        <f aca="false">H44+H51</f>
        <v>957959</v>
      </c>
      <c r="I52" s="13" t="n">
        <f aca="false">I44+I51</f>
        <v>992503</v>
      </c>
      <c r="J52" s="13" t="n">
        <f aca="false">J44+J51</f>
        <v>993332</v>
      </c>
      <c r="K52" s="13" t="n">
        <f aca="false">K44+K51</f>
        <v>1012953</v>
      </c>
      <c r="L52" s="13" t="n">
        <f aca="false">L44+L51</f>
        <v>0</v>
      </c>
      <c r="M52" s="13" t="n">
        <f aca="false">M44+M51</f>
        <v>0</v>
      </c>
      <c r="N52" s="13" t="n">
        <f aca="false">N44+N51</f>
        <v>0</v>
      </c>
      <c r="O52" s="13" t="n">
        <f aca="false">O44+O51</f>
        <v>0</v>
      </c>
      <c r="P52" s="13" t="n">
        <f aca="false">P44+P51</f>
        <v>0</v>
      </c>
      <c r="Q52" s="13" t="n">
        <f aca="false">Q44+Q51</f>
        <v>0</v>
      </c>
    </row>
    <row r="53" customFormat="false" ht="15" hidden="false" customHeight="false" outlineLevel="0" collapsed="false">
      <c r="B53" s="11" t="s">
        <v>106</v>
      </c>
      <c r="C53" s="18" t="n">
        <f aca="false">IF(ISBLANK(C6),"",C21-C52)</f>
        <v>0</v>
      </c>
      <c r="D53" s="18" t="n">
        <f aca="false">IF(ISBLANK(D6),"",D21-D52)</f>
        <v>0</v>
      </c>
      <c r="E53" s="18" t="n">
        <f aca="false">IF(ISBLANK(E6),"",E21-E52)</f>
        <v>0</v>
      </c>
      <c r="F53" s="18" t="n">
        <f aca="false">IF(ISBLANK(F6),"",F21-F52)</f>
        <v>0</v>
      </c>
      <c r="G53" s="18" t="n">
        <f aca="false">IF(ISBLANK(G6),"",G21-G52)</f>
        <v>0</v>
      </c>
      <c r="H53" s="18" t="n">
        <f aca="false">IF(ISBLANK(H6),"",H21-H52)</f>
        <v>0</v>
      </c>
      <c r="I53" s="18" t="n">
        <f aca="false">IF(ISBLANK(I6),"",I21-I52)</f>
        <v>0</v>
      </c>
      <c r="J53" s="18" t="n">
        <f aca="false">IF(ISBLANK(J6),"",J21-J52)</f>
        <v>0</v>
      </c>
      <c r="K53" s="18" t="n">
        <f aca="false">IF(ISBLANK(K6),"",K21-K52)</f>
        <v>0</v>
      </c>
      <c r="L53" s="18" t="str">
        <f aca="false">IF(ISBLANK(L6),"",L21-L52)</f>
        <v/>
      </c>
      <c r="M53" s="18" t="str">
        <f aca="false">IF(ISBLANK(M6),"",M21-M52)</f>
        <v/>
      </c>
      <c r="N53" s="18" t="str">
        <f aca="false">IF(ISBLANK(N6),"",N21-N52)</f>
        <v/>
      </c>
      <c r="O53" s="18" t="str">
        <f aca="false">IF(ISBLANK(O6),"",O21-O52)</f>
        <v/>
      </c>
      <c r="P53" s="18" t="str">
        <f aca="false">IF(ISBLANK(P6),"",P21-P52)</f>
        <v/>
      </c>
      <c r="Q53" s="18" t="str">
        <f aca="false">IF(ISBLANK(Q6),"",Q21-Q52)</f>
        <v/>
      </c>
    </row>
  </sheetData>
  <mergeCells count="5">
    <mergeCell ref="B1:Q1"/>
    <mergeCell ref="B2:Q2"/>
    <mergeCell ref="B5:Q5"/>
    <mergeCell ref="B23:Q23"/>
    <mergeCell ref="B46:Q4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Q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17" min="3" style="0" width="13"/>
  </cols>
  <sheetData>
    <row r="1" customFormat="false" ht="21.75" hidden="false" customHeight="true" outlineLevel="0" collapsed="false">
      <c r="B1" s="1" t="s">
        <v>107</v>
      </c>
      <c r="C1" s="1"/>
      <c r="D1" s="1"/>
      <c r="E1" s="1"/>
      <c r="F1" s="1"/>
      <c r="G1" s="1"/>
      <c r="H1" s="1"/>
      <c r="I1" s="1"/>
      <c r="J1" s="1"/>
      <c r="K1" s="1"/>
      <c r="L1" s="1"/>
      <c r="M1" s="1"/>
      <c r="N1" s="1"/>
      <c r="O1" s="1"/>
      <c r="P1" s="1"/>
      <c r="Q1" s="1"/>
    </row>
    <row r="2" customFormat="false" ht="15" hidden="false" customHeight="false" outlineLevel="0" collapsed="false">
      <c r="B2" s="2" t="s">
        <v>108</v>
      </c>
      <c r="C2" s="2"/>
      <c r="D2" s="2"/>
      <c r="E2" s="2"/>
      <c r="F2" s="2"/>
      <c r="G2" s="2"/>
      <c r="H2" s="2"/>
      <c r="I2" s="2"/>
      <c r="J2" s="2"/>
      <c r="K2" s="2"/>
      <c r="L2" s="2"/>
      <c r="M2" s="2"/>
      <c r="N2" s="2"/>
      <c r="O2" s="2"/>
      <c r="P2" s="2"/>
      <c r="Q2" s="2"/>
    </row>
    <row r="4" customFormat="false" ht="15.75" hidden="false" customHeight="true" outlineLevel="0" collapsed="false">
      <c r="B4" s="3" t="s">
        <v>2</v>
      </c>
      <c r="C4" s="4" t="s">
        <v>3</v>
      </c>
      <c r="D4" s="4" t="s">
        <v>4</v>
      </c>
      <c r="E4" s="4" t="s">
        <v>5</v>
      </c>
      <c r="F4" s="4" t="s">
        <v>6</v>
      </c>
      <c r="G4" s="4" t="s">
        <v>7</v>
      </c>
      <c r="H4" s="4" t="s">
        <v>8</v>
      </c>
      <c r="I4" s="4" t="s">
        <v>9</v>
      </c>
      <c r="J4" s="4" t="s">
        <v>10</v>
      </c>
      <c r="K4" s="4" t="s">
        <v>11</v>
      </c>
      <c r="L4" s="4" t="s">
        <v>12</v>
      </c>
      <c r="M4" s="4" t="s">
        <v>13</v>
      </c>
      <c r="N4" s="4" t="s">
        <v>14</v>
      </c>
      <c r="O4" s="4" t="s">
        <v>15</v>
      </c>
      <c r="P4" s="4" t="s">
        <v>16</v>
      </c>
      <c r="Q4" s="4" t="s">
        <v>17</v>
      </c>
    </row>
    <row r="6" customFormat="false" ht="15" hidden="false" customHeight="false" outlineLevel="0" collapsed="false">
      <c r="B6" s="9" t="s">
        <v>109</v>
      </c>
      <c r="C6" s="10" t="n">
        <v>480828</v>
      </c>
      <c r="D6" s="10" t="n">
        <v>531848</v>
      </c>
      <c r="E6" s="10" t="n">
        <v>562856</v>
      </c>
      <c r="F6" s="10" t="n">
        <v>152327</v>
      </c>
      <c r="G6" s="10" t="n">
        <v>293272</v>
      </c>
      <c r="H6" s="10" t="n">
        <v>429410</v>
      </c>
      <c r="I6" s="10" t="n">
        <v>573857</v>
      </c>
      <c r="J6" s="10" t="n">
        <v>148162</v>
      </c>
      <c r="K6" s="10" t="n">
        <v>293216</v>
      </c>
      <c r="L6" s="8"/>
      <c r="M6" s="8"/>
      <c r="N6" s="8"/>
      <c r="O6" s="8"/>
      <c r="P6" s="8"/>
      <c r="Q6" s="8"/>
    </row>
    <row r="7" customFormat="false" ht="15" hidden="false" customHeight="false" outlineLevel="0" collapsed="false">
      <c r="B7" s="9" t="s">
        <v>110</v>
      </c>
      <c r="C7" s="10" t="n">
        <v>7755</v>
      </c>
      <c r="D7" s="10" t="n">
        <v>8905</v>
      </c>
      <c r="E7" s="10" t="n">
        <v>7667</v>
      </c>
      <c r="F7" s="10" t="n">
        <v>1847</v>
      </c>
      <c r="G7" s="10" t="n">
        <v>3864</v>
      </c>
      <c r="H7" s="10" t="n">
        <v>5802</v>
      </c>
      <c r="I7" s="10" t="n">
        <v>7564</v>
      </c>
      <c r="J7" s="10" t="n">
        <v>1856</v>
      </c>
      <c r="K7" s="10" t="n">
        <v>4117</v>
      </c>
      <c r="L7" s="8"/>
      <c r="M7" s="8"/>
      <c r="N7" s="8"/>
      <c r="O7" s="8"/>
      <c r="P7" s="8"/>
      <c r="Q7" s="8"/>
    </row>
    <row r="8" customFormat="false" ht="15" hidden="false" customHeight="false" outlineLevel="0" collapsed="false">
      <c r="B8" s="12" t="s">
        <v>111</v>
      </c>
      <c r="C8" s="13" t="n">
        <f aca="false">C6+C7</f>
        <v>488583</v>
      </c>
      <c r="D8" s="13" t="n">
        <f aca="false">D6+D7</f>
        <v>540753</v>
      </c>
      <c r="E8" s="13" t="n">
        <f aca="false">E6+E7</f>
        <v>570523</v>
      </c>
      <c r="F8" s="13" t="n">
        <f aca="false">F6+F7</f>
        <v>154174</v>
      </c>
      <c r="G8" s="13" t="n">
        <f aca="false">G6+G7</f>
        <v>297136</v>
      </c>
      <c r="H8" s="13" t="n">
        <f aca="false">H6+H7</f>
        <v>435212</v>
      </c>
      <c r="I8" s="13" t="n">
        <f aca="false">I6+I7</f>
        <v>581421</v>
      </c>
      <c r="J8" s="13" t="n">
        <f aca="false">J6+J7</f>
        <v>150018</v>
      </c>
      <c r="K8" s="13" t="n">
        <f aca="false">K6+K7</f>
        <v>297333</v>
      </c>
      <c r="L8" s="13" t="n">
        <f aca="false">L6+L7</f>
        <v>0</v>
      </c>
      <c r="M8" s="13" t="n">
        <f aca="false">M6+M7</f>
        <v>0</v>
      </c>
      <c r="N8" s="13" t="n">
        <f aca="false">N6+N7</f>
        <v>0</v>
      </c>
      <c r="O8" s="13" t="n">
        <f aca="false">O6+O7</f>
        <v>0</v>
      </c>
      <c r="P8" s="13" t="n">
        <f aca="false">P6+P7</f>
        <v>0</v>
      </c>
      <c r="Q8" s="13" t="n">
        <f aca="false">Q6+Q7</f>
        <v>0</v>
      </c>
    </row>
    <row r="9" customFormat="false" ht="15" hidden="false" customHeight="false" outlineLevel="0" collapsed="false">
      <c r="B9" s="9" t="s">
        <v>112</v>
      </c>
      <c r="C9" s="10" t="n">
        <v>-322814</v>
      </c>
      <c r="D9" s="10" t="n">
        <v>-361629</v>
      </c>
      <c r="E9" s="10" t="n">
        <v>-386573</v>
      </c>
      <c r="F9" s="10" t="n">
        <v>-103761</v>
      </c>
      <c r="G9" s="10" t="n">
        <v>-199386</v>
      </c>
      <c r="H9" s="10" t="n">
        <v>-292098</v>
      </c>
      <c r="I9" s="10" t="n">
        <v>-398594</v>
      </c>
      <c r="J9" s="10" t="n">
        <v>-106468</v>
      </c>
      <c r="K9" s="10" t="n">
        <v>-210941</v>
      </c>
      <c r="L9" s="8"/>
      <c r="M9" s="8"/>
      <c r="N9" s="8"/>
      <c r="O9" s="8"/>
      <c r="P9" s="8"/>
      <c r="Q9" s="8"/>
    </row>
    <row r="10" customFormat="false" ht="15" hidden="false" customHeight="false" outlineLevel="0" collapsed="false">
      <c r="B10" s="9" t="s">
        <v>113</v>
      </c>
      <c r="C10" s="10" t="n">
        <v>-235</v>
      </c>
      <c r="D10" s="10" t="n">
        <v>-158</v>
      </c>
      <c r="E10" s="10" t="n">
        <v>-200</v>
      </c>
      <c r="F10" s="10" t="n">
        <v>-16</v>
      </c>
      <c r="G10" s="10" t="n">
        <v>-120</v>
      </c>
      <c r="H10" s="10" t="n">
        <v>-179</v>
      </c>
      <c r="I10" s="10" t="n">
        <v>-247</v>
      </c>
      <c r="J10" s="10" t="n">
        <v>-73</v>
      </c>
      <c r="K10" s="10" t="n">
        <v>-120</v>
      </c>
      <c r="L10" s="8"/>
      <c r="M10" s="8"/>
      <c r="N10" s="8"/>
      <c r="O10" s="8"/>
      <c r="P10" s="8"/>
      <c r="Q10" s="8"/>
    </row>
    <row r="11" customFormat="false" ht="15" hidden="false" customHeight="false" outlineLevel="0" collapsed="false">
      <c r="B11" s="12" t="s">
        <v>114</v>
      </c>
      <c r="C11" s="13" t="n">
        <f aca="false">C9+C10</f>
        <v>-323049</v>
      </c>
      <c r="D11" s="13" t="n">
        <f aca="false">D9+D10</f>
        <v>-361787</v>
      </c>
      <c r="E11" s="13" t="n">
        <f aca="false">E9+E10</f>
        <v>-386773</v>
      </c>
      <c r="F11" s="13" t="n">
        <f aca="false">F9+F10</f>
        <v>-103777</v>
      </c>
      <c r="G11" s="13" t="n">
        <f aca="false">G9+G10</f>
        <v>-199506</v>
      </c>
      <c r="H11" s="13" t="n">
        <f aca="false">H9+H10</f>
        <v>-292277</v>
      </c>
      <c r="I11" s="13" t="n">
        <f aca="false">I9+I10</f>
        <v>-398841</v>
      </c>
      <c r="J11" s="13" t="n">
        <f aca="false">J9+J10</f>
        <v>-106541</v>
      </c>
      <c r="K11" s="13" t="n">
        <f aca="false">K9+K10</f>
        <v>-211061</v>
      </c>
      <c r="L11" s="13" t="n">
        <f aca="false">L9+L10</f>
        <v>0</v>
      </c>
      <c r="M11" s="13" t="n">
        <f aca="false">M9+M10</f>
        <v>0</v>
      </c>
      <c r="N11" s="13" t="n">
        <f aca="false">N9+N10</f>
        <v>0</v>
      </c>
      <c r="O11" s="13" t="n">
        <f aca="false">O9+O10</f>
        <v>0</v>
      </c>
      <c r="P11" s="13" t="n">
        <f aca="false">P9+P10</f>
        <v>0</v>
      </c>
      <c r="Q11" s="13" t="n">
        <f aca="false">Q9+Q10</f>
        <v>0</v>
      </c>
    </row>
    <row r="12" customFormat="false" ht="15" hidden="false" customHeight="false" outlineLevel="0" collapsed="false">
      <c r="B12" s="12" t="s">
        <v>115</v>
      </c>
      <c r="C12" s="13" t="n">
        <f aca="false">C8+C11</f>
        <v>165534</v>
      </c>
      <c r="D12" s="13" t="n">
        <f aca="false">D8+D11</f>
        <v>178966</v>
      </c>
      <c r="E12" s="13" t="n">
        <f aca="false">E8+E11</f>
        <v>183750</v>
      </c>
      <c r="F12" s="13" t="n">
        <f aca="false">F8+F11</f>
        <v>50397</v>
      </c>
      <c r="G12" s="13" t="n">
        <f aca="false">G8+G11</f>
        <v>97630</v>
      </c>
      <c r="H12" s="13" t="n">
        <f aca="false">H8+H11</f>
        <v>142935</v>
      </c>
      <c r="I12" s="13" t="n">
        <f aca="false">I8+I11</f>
        <v>182580</v>
      </c>
      <c r="J12" s="13" t="n">
        <f aca="false">J8+J11</f>
        <v>43477</v>
      </c>
      <c r="K12" s="13" t="n">
        <f aca="false">K8+K11</f>
        <v>86272</v>
      </c>
      <c r="L12" s="13" t="n">
        <f aca="false">L8+L11</f>
        <v>0</v>
      </c>
      <c r="M12" s="13" t="n">
        <f aca="false">M8+M11</f>
        <v>0</v>
      </c>
      <c r="N12" s="13" t="n">
        <f aca="false">N8+N11</f>
        <v>0</v>
      </c>
      <c r="O12" s="13" t="n">
        <f aca="false">O8+O11</f>
        <v>0</v>
      </c>
      <c r="P12" s="13" t="n">
        <f aca="false">P8+P11</f>
        <v>0</v>
      </c>
      <c r="Q12" s="13" t="n">
        <f aca="false">Q8+Q11</f>
        <v>0</v>
      </c>
    </row>
    <row r="13" customFormat="false" ht="15" hidden="false" customHeight="false" outlineLevel="0" collapsed="false">
      <c r="B13" s="19" t="s">
        <v>116</v>
      </c>
      <c r="C13" s="20" t="n">
        <f aca="false">IFERROR(C12/C8,"")</f>
        <v>0.338804256390419</v>
      </c>
      <c r="D13" s="20" t="n">
        <f aca="false">IFERROR(D12/D8,"")</f>
        <v>0.330957017344333</v>
      </c>
      <c r="E13" s="20" t="n">
        <f aca="false">IFERROR(E12/E8,"")</f>
        <v>0.322072905036256</v>
      </c>
      <c r="F13" s="20" t="n">
        <f aca="false">IFERROR(F12/F8,"")</f>
        <v>0.326883910386965</v>
      </c>
      <c r="G13" s="20" t="n">
        <f aca="false">IFERROR(G12/G8,"")</f>
        <v>0.328570082386517</v>
      </c>
      <c r="H13" s="20" t="n">
        <f aca="false">IFERROR(H12/H8,"")</f>
        <v>0.328426146337877</v>
      </c>
      <c r="I13" s="20" t="n">
        <f aca="false">IFERROR(I12/I8,"")</f>
        <v>0.314023745272359</v>
      </c>
      <c r="J13" s="20" t="n">
        <f aca="false">IFERROR(J12/J8,"")</f>
        <v>0.289811889239958</v>
      </c>
      <c r="K13" s="20" t="n">
        <f aca="false">IFERROR(K12/K8,"")</f>
        <v>0.290152791651112</v>
      </c>
      <c r="L13" s="20" t="str">
        <f aca="false">IFERROR(L12/L8,"")</f>
        <v/>
      </c>
      <c r="M13" s="20" t="str">
        <f aca="false">IFERROR(M12/M8,"")</f>
        <v/>
      </c>
      <c r="N13" s="20" t="str">
        <f aca="false">IFERROR(N12/N8,"")</f>
        <v/>
      </c>
      <c r="O13" s="20" t="str">
        <f aca="false">IFERROR(O12/O8,"")</f>
        <v/>
      </c>
      <c r="P13" s="20" t="str">
        <f aca="false">IFERROR(P12/P8,"")</f>
        <v/>
      </c>
      <c r="Q13" s="20" t="str">
        <f aca="false">IFERROR(Q12/Q8,"")</f>
        <v/>
      </c>
    </row>
    <row r="15" customFormat="false" ht="15" hidden="false" customHeight="false" outlineLevel="0" collapsed="false">
      <c r="B15" s="9" t="s">
        <v>117</v>
      </c>
      <c r="C15" s="10" t="n">
        <v>-36038</v>
      </c>
      <c r="D15" s="10" t="n">
        <v>-35653</v>
      </c>
      <c r="E15" s="10" t="n">
        <v>-30427</v>
      </c>
      <c r="F15" s="10" t="n">
        <v>-7813</v>
      </c>
      <c r="G15" s="10" t="n">
        <v>-16044</v>
      </c>
      <c r="H15" s="10" t="n">
        <v>-23888</v>
      </c>
      <c r="I15" s="10" t="n">
        <v>-30840</v>
      </c>
      <c r="J15" s="10" t="n">
        <v>-8210</v>
      </c>
      <c r="K15" s="10" t="n">
        <v>-15609</v>
      </c>
      <c r="L15" s="8"/>
      <c r="M15" s="8"/>
      <c r="N15" s="8"/>
      <c r="O15" s="8"/>
      <c r="P15" s="8"/>
      <c r="Q15" s="8"/>
    </row>
    <row r="16" customFormat="false" ht="15" hidden="false" customHeight="false" outlineLevel="0" collapsed="false">
      <c r="B16" s="9" t="s">
        <v>118</v>
      </c>
      <c r="C16" s="10" t="n">
        <v>-34720</v>
      </c>
      <c r="D16" s="10" t="n">
        <v>-35719</v>
      </c>
      <c r="E16" s="10" t="n">
        <v>-38860</v>
      </c>
      <c r="F16" s="10" t="n">
        <v>-10103</v>
      </c>
      <c r="G16" s="10" t="n">
        <v>-20865</v>
      </c>
      <c r="H16" s="10" t="n">
        <v>-31410</v>
      </c>
      <c r="I16" s="10" t="n">
        <v>-44184</v>
      </c>
      <c r="J16" s="10" t="n">
        <v>-10755</v>
      </c>
      <c r="K16" s="10" t="n">
        <v>-20259</v>
      </c>
      <c r="L16" s="8"/>
      <c r="M16" s="8"/>
      <c r="N16" s="8"/>
      <c r="O16" s="8"/>
      <c r="P16" s="8"/>
      <c r="Q16" s="8"/>
    </row>
    <row r="17" customFormat="false" ht="15" hidden="false" customHeight="false" outlineLevel="0" collapsed="false">
      <c r="B17" s="9" t="s">
        <v>119</v>
      </c>
      <c r="C17" s="10" t="n">
        <v>-1807</v>
      </c>
      <c r="D17" s="10" t="n">
        <v>-4600</v>
      </c>
      <c r="E17" s="10" t="n">
        <v>-2437</v>
      </c>
      <c r="F17" s="10" t="n">
        <v>-244</v>
      </c>
      <c r="G17" s="10" t="n">
        <v>-1011</v>
      </c>
      <c r="H17" s="10" t="n">
        <v>-1344</v>
      </c>
      <c r="I17" s="10" t="n">
        <v>-1392</v>
      </c>
      <c r="J17" s="10" t="n">
        <v>161</v>
      </c>
      <c r="K17" s="10" t="n">
        <v>-165</v>
      </c>
      <c r="L17" s="8"/>
      <c r="M17" s="8"/>
      <c r="N17" s="8"/>
      <c r="O17" s="8"/>
      <c r="P17" s="8"/>
      <c r="Q17" s="8"/>
    </row>
    <row r="18" customFormat="false" ht="15" hidden="false" customHeight="false" outlineLevel="0" collapsed="false">
      <c r="B18" s="9" t="s">
        <v>120</v>
      </c>
      <c r="C18" s="10" t="n">
        <v>9405</v>
      </c>
      <c r="D18" s="10" t="n">
        <v>6393</v>
      </c>
      <c r="E18" s="10" t="n">
        <v>7928</v>
      </c>
      <c r="F18" s="10" t="n">
        <v>2700</v>
      </c>
      <c r="G18" s="10" t="n">
        <v>4575</v>
      </c>
      <c r="H18" s="10" t="n">
        <v>5957</v>
      </c>
      <c r="I18" s="10" t="n">
        <v>7959</v>
      </c>
      <c r="J18" s="10" t="n">
        <v>2129</v>
      </c>
      <c r="K18" s="10" t="n">
        <v>4954</v>
      </c>
      <c r="L18" s="8"/>
      <c r="M18" s="8"/>
      <c r="N18" s="8"/>
      <c r="O18" s="8"/>
      <c r="P18" s="8"/>
      <c r="Q18" s="8"/>
    </row>
    <row r="19" customFormat="false" ht="15" hidden="false" customHeight="false" outlineLevel="0" collapsed="false">
      <c r="B19" s="9" t="s">
        <v>121</v>
      </c>
      <c r="C19" s="10" t="n">
        <v>-5170</v>
      </c>
      <c r="D19" s="10" t="n">
        <v>-4744</v>
      </c>
      <c r="E19" s="10" t="n">
        <v>-5912</v>
      </c>
      <c r="F19" s="10" t="n">
        <v>-1281</v>
      </c>
      <c r="G19" s="10" t="n">
        <v>-2165</v>
      </c>
      <c r="H19" s="10" t="n">
        <v>-3173</v>
      </c>
      <c r="I19" s="10" t="n">
        <v>-4015</v>
      </c>
      <c r="J19" s="10" t="n">
        <v>-1331</v>
      </c>
      <c r="K19" s="10" t="n">
        <v>-3466</v>
      </c>
      <c r="L19" s="8"/>
      <c r="M19" s="8"/>
      <c r="N19" s="8"/>
      <c r="O19" s="8"/>
      <c r="P19" s="8"/>
      <c r="Q19" s="8"/>
    </row>
    <row r="20" customFormat="false" ht="15" hidden="false" customHeight="false" outlineLevel="0" collapsed="false">
      <c r="B20" s="12" t="s">
        <v>122</v>
      </c>
      <c r="C20" s="13" t="n">
        <f aca="false">C15+C16+C17+C18+C19</f>
        <v>-68330</v>
      </c>
      <c r="D20" s="13" t="n">
        <f aca="false">D15+D16+D17+D18+D19</f>
        <v>-74323</v>
      </c>
      <c r="E20" s="13" t="n">
        <f aca="false">E15+E16+E17+E18+E19</f>
        <v>-69708</v>
      </c>
      <c r="F20" s="13" t="n">
        <f aca="false">F15+F16+F17+F18+F19</f>
        <v>-16741</v>
      </c>
      <c r="G20" s="13" t="n">
        <f aca="false">G15+G16+G17+G18+G19</f>
        <v>-35510</v>
      </c>
      <c r="H20" s="13" t="n">
        <f aca="false">H15+H16+H17+H18+H19</f>
        <v>-53858</v>
      </c>
      <c r="I20" s="13" t="n">
        <f aca="false">I15+I16+I17+I18+I19</f>
        <v>-72472</v>
      </c>
      <c r="J20" s="13" t="n">
        <f aca="false">J15+J16+J17+J18+J19</f>
        <v>-18006</v>
      </c>
      <c r="K20" s="13" t="n">
        <f aca="false">K15+K16+K17+K18+K19</f>
        <v>-34545</v>
      </c>
      <c r="L20" s="13" t="n">
        <f aca="false">L15+L16+L17+L18+L19</f>
        <v>0</v>
      </c>
      <c r="M20" s="13" t="n">
        <f aca="false">M15+M16+M17+M18+M19</f>
        <v>0</v>
      </c>
      <c r="N20" s="13" t="n">
        <f aca="false">N15+N16+N17+N18+N19</f>
        <v>0</v>
      </c>
      <c r="O20" s="13" t="n">
        <f aca="false">O15+O16+O17+O18+O19</f>
        <v>0</v>
      </c>
      <c r="P20" s="13" t="n">
        <f aca="false">P15+P16+P17+P18+P19</f>
        <v>0</v>
      </c>
      <c r="Q20" s="13" t="n">
        <f aca="false">Q15+Q16+Q17+Q18+Q19</f>
        <v>0</v>
      </c>
    </row>
    <row r="21" customFormat="false" ht="15" hidden="false" customHeight="false" outlineLevel="0" collapsed="false">
      <c r="B21" s="12" t="s">
        <v>123</v>
      </c>
      <c r="C21" s="13" t="n">
        <f aca="false">C12+C20</f>
        <v>97204</v>
      </c>
      <c r="D21" s="13" t="n">
        <f aca="false">D12+D20</f>
        <v>104643</v>
      </c>
      <c r="E21" s="13" t="n">
        <f aca="false">E12+E20</f>
        <v>114042</v>
      </c>
      <c r="F21" s="13" t="n">
        <f aca="false">F12+F20</f>
        <v>33656</v>
      </c>
      <c r="G21" s="13" t="n">
        <f aca="false">G12+G20</f>
        <v>62120</v>
      </c>
      <c r="H21" s="13" t="n">
        <f aca="false">H12+H20</f>
        <v>89077</v>
      </c>
      <c r="I21" s="13" t="n">
        <f aca="false">I12+I20</f>
        <v>110108</v>
      </c>
      <c r="J21" s="13" t="n">
        <f aca="false">J12+J20</f>
        <v>25471</v>
      </c>
      <c r="K21" s="13" t="n">
        <f aca="false">K12+K20</f>
        <v>51727</v>
      </c>
      <c r="L21" s="13" t="n">
        <f aca="false">L12+L20</f>
        <v>0</v>
      </c>
      <c r="M21" s="13" t="n">
        <f aca="false">M12+M20</f>
        <v>0</v>
      </c>
      <c r="N21" s="13" t="n">
        <f aca="false">N12+N20</f>
        <v>0</v>
      </c>
      <c r="O21" s="13" t="n">
        <f aca="false">O12+O20</f>
        <v>0</v>
      </c>
      <c r="P21" s="13" t="n">
        <f aca="false">P12+P20</f>
        <v>0</v>
      </c>
      <c r="Q21" s="13" t="n">
        <f aca="false">Q12+Q20</f>
        <v>0</v>
      </c>
    </row>
    <row r="22" customFormat="false" ht="15" hidden="false" customHeight="false" outlineLevel="0" collapsed="false">
      <c r="B22" s="19" t="s">
        <v>124</v>
      </c>
      <c r="C22" s="20" t="n">
        <f aca="false">IFERROR(C21/C8,"")</f>
        <v>0.198950843561892</v>
      </c>
      <c r="D22" s="20" t="n">
        <f aca="false">IFERROR(D21/D8,"")</f>
        <v>0.193513489522943</v>
      </c>
      <c r="E22" s="20" t="n">
        <f aca="false">IFERROR(E21/E8,"")</f>
        <v>0.199890276115073</v>
      </c>
      <c r="F22" s="20" t="n">
        <f aca="false">IFERROR(F21/F8,"")</f>
        <v>0.218298805246021</v>
      </c>
      <c r="G22" s="20" t="n">
        <f aca="false">IFERROR(G21/G8,"")</f>
        <v>0.209062516827311</v>
      </c>
      <c r="H22" s="20" t="n">
        <f aca="false">IFERROR(H21/H8,"")</f>
        <v>0.204674963006535</v>
      </c>
      <c r="I22" s="20" t="n">
        <f aca="false">IFERROR(I21/I8,"")</f>
        <v>0.189377404668906</v>
      </c>
      <c r="J22" s="20" t="n">
        <f aca="false">IFERROR(J21/J8,"")</f>
        <v>0.169786292311589</v>
      </c>
      <c r="K22" s="20" t="n">
        <f aca="false">IFERROR(K21/K8,"")</f>
        <v>0.173969925975253</v>
      </c>
      <c r="L22" s="20" t="str">
        <f aca="false">IFERROR(L21/L8,"")</f>
        <v/>
      </c>
      <c r="M22" s="20" t="str">
        <f aca="false">IFERROR(M21/M8,"")</f>
        <v/>
      </c>
      <c r="N22" s="20" t="str">
        <f aca="false">IFERROR(N21/N8,"")</f>
        <v/>
      </c>
      <c r="O22" s="20" t="str">
        <f aca="false">IFERROR(O21/O8,"")</f>
        <v/>
      </c>
      <c r="P22" s="20" t="str">
        <f aca="false">IFERROR(P21/P8,"")</f>
        <v/>
      </c>
      <c r="Q22" s="20" t="str">
        <f aca="false">IFERROR(Q21/Q8,"")</f>
        <v/>
      </c>
    </row>
    <row r="23" customFormat="false" ht="15" hidden="false" customHeight="false" outlineLevel="0" collapsed="false">
      <c r="B23" s="21" t="s">
        <v>125</v>
      </c>
      <c r="C23" s="22" t="n">
        <f aca="false">'Flujo de Caja'!C11+'Flujo de Caja'!C12</f>
        <v>50434</v>
      </c>
      <c r="D23" s="22" t="n">
        <f aca="false">'Flujo de Caja'!D11+'Flujo de Caja'!D12</f>
        <v>51625</v>
      </c>
      <c r="E23" s="22" t="n">
        <f aca="false">'Flujo de Caja'!E11+'Flujo de Caja'!E12</f>
        <v>54645</v>
      </c>
      <c r="F23" s="22" t="n">
        <f aca="false">'Flujo de Caja'!F11+'Flujo de Caja'!F12</f>
        <v>14972</v>
      </c>
      <c r="G23" s="22" t="n">
        <f aca="false">'Flujo de Caja'!G11+'Flujo de Caja'!G12</f>
        <v>29975</v>
      </c>
      <c r="H23" s="22" t="n">
        <f aca="false">'Flujo de Caja'!H11+'Flujo de Caja'!H12</f>
        <v>45331</v>
      </c>
      <c r="I23" s="22" t="n">
        <f aca="false">'Flujo de Caja'!I11+'Flujo de Caja'!I12</f>
        <v>61163</v>
      </c>
      <c r="J23" s="22" t="n">
        <f aca="false">'Flujo de Caja'!J11+'Flujo de Caja'!J12</f>
        <v>15549</v>
      </c>
      <c r="K23" s="22" t="n">
        <f aca="false">'Flujo de Caja'!K11+'Flujo de Caja'!K12</f>
        <v>31738</v>
      </c>
      <c r="L23" s="22" t="n">
        <f aca="false">'Flujo de Caja'!L11+'Flujo de Caja'!L12</f>
        <v>0</v>
      </c>
      <c r="M23" s="22" t="n">
        <f aca="false">'Flujo de Caja'!M11+'Flujo de Caja'!M12</f>
        <v>0</v>
      </c>
      <c r="N23" s="22" t="n">
        <f aca="false">'Flujo de Caja'!N11+'Flujo de Caja'!N12</f>
        <v>0</v>
      </c>
      <c r="O23" s="22" t="n">
        <f aca="false">'Flujo de Caja'!O11+'Flujo de Caja'!O12</f>
        <v>0</v>
      </c>
      <c r="P23" s="22" t="n">
        <f aca="false">'Flujo de Caja'!P11+'Flujo de Caja'!P12</f>
        <v>0</v>
      </c>
      <c r="Q23" s="22" t="n">
        <f aca="false">'Flujo de Caja'!Q11+'Flujo de Caja'!Q12</f>
        <v>0</v>
      </c>
    </row>
    <row r="24" customFormat="false" ht="15" hidden="false" customHeight="false" outlineLevel="0" collapsed="false">
      <c r="B24" s="23" t="s">
        <v>126</v>
      </c>
      <c r="C24" s="24" t="n">
        <f aca="false">C21+C23</f>
        <v>147638</v>
      </c>
      <c r="D24" s="24" t="n">
        <f aca="false">D21+D23</f>
        <v>156268</v>
      </c>
      <c r="E24" s="24" t="n">
        <f aca="false">E21+E23</f>
        <v>168687</v>
      </c>
      <c r="F24" s="24" t="n">
        <f aca="false">F21+F23</f>
        <v>48628</v>
      </c>
      <c r="G24" s="24" t="n">
        <f aca="false">G21+G23</f>
        <v>92095</v>
      </c>
      <c r="H24" s="24" t="n">
        <f aca="false">H21+H23</f>
        <v>134408</v>
      </c>
      <c r="I24" s="24" t="n">
        <f aca="false">I21+I23</f>
        <v>171271</v>
      </c>
      <c r="J24" s="24" t="n">
        <f aca="false">J21+J23</f>
        <v>41020</v>
      </c>
      <c r="K24" s="24" t="n">
        <f aca="false">K21+K23</f>
        <v>83465</v>
      </c>
      <c r="L24" s="24" t="n">
        <f aca="false">L21+L23</f>
        <v>0</v>
      </c>
      <c r="M24" s="24" t="n">
        <f aca="false">M21+M23</f>
        <v>0</v>
      </c>
      <c r="N24" s="24" t="n">
        <f aca="false">N21+N23</f>
        <v>0</v>
      </c>
      <c r="O24" s="24" t="n">
        <f aca="false">O21+O23</f>
        <v>0</v>
      </c>
      <c r="P24" s="24" t="n">
        <f aca="false">P21+P23</f>
        <v>0</v>
      </c>
      <c r="Q24" s="24" t="n">
        <f aca="false">Q21+Q23</f>
        <v>0</v>
      </c>
    </row>
    <row r="25" customFormat="false" ht="15" hidden="false" customHeight="false" outlineLevel="0" collapsed="false">
      <c r="B25" s="19" t="s">
        <v>127</v>
      </c>
      <c r="C25" s="20" t="n">
        <f aca="false">IFERROR(C24/C8,"")</f>
        <v>0.302175884138417</v>
      </c>
      <c r="D25" s="20" t="n">
        <f aca="false">IFERROR(D24/D8,"")</f>
        <v>0.288982215540182</v>
      </c>
      <c r="E25" s="20" t="n">
        <f aca="false">IFERROR(E24/E8,"")</f>
        <v>0.295670814322998</v>
      </c>
      <c r="F25" s="20" t="n">
        <f aca="false">IFERROR(F24/F8,"")</f>
        <v>0.315409861584962</v>
      </c>
      <c r="G25" s="20" t="n">
        <f aca="false">IFERROR(G24/G8,"")</f>
        <v>0.309942248667277</v>
      </c>
      <c r="H25" s="20" t="n">
        <f aca="false">IFERROR(H24/H8,"")</f>
        <v>0.308833396137974</v>
      </c>
      <c r="I25" s="20" t="n">
        <f aca="false">IFERROR(I24/I8,"")</f>
        <v>0.294573123433794</v>
      </c>
      <c r="J25" s="20" t="n">
        <f aca="false">IFERROR(J24/J8,"")</f>
        <v>0.273433854604114</v>
      </c>
      <c r="K25" s="20" t="n">
        <f aca="false">IFERROR(K24/K8,"")</f>
        <v>0.280712198107845</v>
      </c>
      <c r="L25" s="20" t="str">
        <f aca="false">IFERROR(L24/L8,"")</f>
        <v/>
      </c>
      <c r="M25" s="20" t="str">
        <f aca="false">IFERROR(M24/M8,"")</f>
        <v/>
      </c>
      <c r="N25" s="20" t="str">
        <f aca="false">IFERROR(N24/N8,"")</f>
        <v/>
      </c>
      <c r="O25" s="20" t="str">
        <f aca="false">IFERROR(O24/O8,"")</f>
        <v/>
      </c>
      <c r="P25" s="20" t="str">
        <f aca="false">IFERROR(P24/P8,"")</f>
        <v/>
      </c>
      <c r="Q25" s="20" t="str">
        <f aca="false">IFERROR(Q24/Q8,"")</f>
        <v/>
      </c>
    </row>
    <row r="27" customFormat="false" ht="15" hidden="false" customHeight="false" outlineLevel="0" collapsed="false">
      <c r="B27" s="9" t="s">
        <v>128</v>
      </c>
      <c r="C27" s="10" t="n">
        <v>5557</v>
      </c>
      <c r="D27" s="10" t="n">
        <v>5630</v>
      </c>
      <c r="E27" s="10" t="n">
        <v>4622</v>
      </c>
      <c r="F27" s="10" t="n">
        <v>1394</v>
      </c>
      <c r="G27" s="10" t="n">
        <v>2610</v>
      </c>
      <c r="H27" s="10" t="n">
        <v>3685</v>
      </c>
      <c r="I27" s="10" t="n">
        <v>4824</v>
      </c>
      <c r="J27" s="10" t="n">
        <v>997</v>
      </c>
      <c r="K27" s="10" t="n">
        <v>1863</v>
      </c>
      <c r="L27" s="8"/>
      <c r="M27" s="8"/>
      <c r="N27" s="8"/>
      <c r="O27" s="8"/>
      <c r="P27" s="8"/>
      <c r="Q27" s="8"/>
    </row>
    <row r="28" customFormat="false" ht="15" hidden="false" customHeight="false" outlineLevel="0" collapsed="false">
      <c r="B28" s="9" t="s">
        <v>129</v>
      </c>
      <c r="C28" s="10" t="n">
        <v>-26463</v>
      </c>
      <c r="D28" s="10" t="n">
        <v>-26995</v>
      </c>
      <c r="E28" s="10" t="n">
        <v>-28692</v>
      </c>
      <c r="F28" s="10" t="n">
        <v>-6694</v>
      </c>
      <c r="G28" s="10" t="n">
        <v>-15431</v>
      </c>
      <c r="H28" s="10" t="n">
        <v>-23119</v>
      </c>
      <c r="I28" s="10" t="n">
        <v>-31380</v>
      </c>
      <c r="J28" s="10" t="n">
        <v>-7721</v>
      </c>
      <c r="K28" s="10" t="n">
        <v>-15363</v>
      </c>
      <c r="L28" s="8"/>
      <c r="M28" s="8"/>
      <c r="N28" s="8"/>
      <c r="O28" s="8"/>
      <c r="P28" s="8"/>
      <c r="Q28" s="8"/>
    </row>
    <row r="29" customFormat="false" ht="15" hidden="false" customHeight="false" outlineLevel="0" collapsed="false">
      <c r="B29" s="9" t="s">
        <v>130</v>
      </c>
      <c r="C29" s="10" t="n">
        <v>1268</v>
      </c>
      <c r="D29" s="10" t="n">
        <v>-154</v>
      </c>
      <c r="E29" s="10" t="n">
        <v>-1124</v>
      </c>
      <c r="F29" s="10" t="n">
        <v>1575</v>
      </c>
      <c r="G29" s="10" t="n">
        <v>4162</v>
      </c>
      <c r="H29" s="10" t="n">
        <v>5384</v>
      </c>
      <c r="I29" s="10" t="n">
        <v>6977</v>
      </c>
      <c r="J29" s="10" t="n">
        <v>-1963</v>
      </c>
      <c r="K29" s="10" t="n">
        <v>-927</v>
      </c>
      <c r="L29" s="8"/>
      <c r="M29" s="8"/>
      <c r="N29" s="8"/>
      <c r="O29" s="8"/>
      <c r="P29" s="8"/>
      <c r="Q29" s="8"/>
    </row>
    <row r="30" customFormat="false" ht="15" hidden="false" customHeight="false" outlineLevel="0" collapsed="false">
      <c r="B30" s="12" t="s">
        <v>131</v>
      </c>
      <c r="C30" s="13" t="n">
        <f aca="false">C27+C28+C29</f>
        <v>-19638</v>
      </c>
      <c r="D30" s="13" t="n">
        <f aca="false">D27+D28+D29</f>
        <v>-21519</v>
      </c>
      <c r="E30" s="13" t="n">
        <f aca="false">E27+E28+E29</f>
        <v>-25194</v>
      </c>
      <c r="F30" s="13" t="n">
        <f aca="false">F27+F28+F29</f>
        <v>-3725</v>
      </c>
      <c r="G30" s="13" t="n">
        <f aca="false">G27+G28+G29</f>
        <v>-8659</v>
      </c>
      <c r="H30" s="13" t="n">
        <f aca="false">H27+H28+H29</f>
        <v>-14050</v>
      </c>
      <c r="I30" s="13" t="n">
        <f aca="false">I27+I28+I29</f>
        <v>-19579</v>
      </c>
      <c r="J30" s="13" t="n">
        <f aca="false">J27+J28+J29</f>
        <v>-8687</v>
      </c>
      <c r="K30" s="13" t="n">
        <f aca="false">K27+K28+K29</f>
        <v>-14427</v>
      </c>
      <c r="L30" s="13" t="n">
        <f aca="false">L27+L28+L29</f>
        <v>0</v>
      </c>
      <c r="M30" s="13" t="n">
        <f aca="false">M27+M28+M29</f>
        <v>0</v>
      </c>
      <c r="N30" s="13" t="n">
        <f aca="false">N27+N28+N29</f>
        <v>0</v>
      </c>
      <c r="O30" s="13" t="n">
        <f aca="false">O27+O28+O29</f>
        <v>0</v>
      </c>
      <c r="P30" s="13" t="n">
        <f aca="false">P27+P28+P29</f>
        <v>0</v>
      </c>
      <c r="Q30" s="13" t="n">
        <f aca="false">Q27+Q28+Q29</f>
        <v>0</v>
      </c>
    </row>
    <row r="31" customFormat="false" ht="15" hidden="false" customHeight="false" outlineLevel="0" collapsed="false">
      <c r="B31" s="12" t="s">
        <v>132</v>
      </c>
      <c r="C31" s="13" t="n">
        <f aca="false">C21+C30</f>
        <v>77566</v>
      </c>
      <c r="D31" s="13" t="n">
        <f aca="false">D21+D30</f>
        <v>83124</v>
      </c>
      <c r="E31" s="13" t="n">
        <f aca="false">E21+E30</f>
        <v>88848</v>
      </c>
      <c r="F31" s="13" t="n">
        <f aca="false">F21+F30</f>
        <v>29931</v>
      </c>
      <c r="G31" s="13" t="n">
        <f aca="false">G21+G30</f>
        <v>53461</v>
      </c>
      <c r="H31" s="13" t="n">
        <f aca="false">H21+H30</f>
        <v>75027</v>
      </c>
      <c r="I31" s="13" t="n">
        <f aca="false">I21+I30</f>
        <v>90529</v>
      </c>
      <c r="J31" s="13" t="n">
        <f aca="false">J21+J30</f>
        <v>16784</v>
      </c>
      <c r="K31" s="13" t="n">
        <f aca="false">K21+K30</f>
        <v>37300</v>
      </c>
      <c r="L31" s="13" t="n">
        <f aca="false">L21+L30</f>
        <v>0</v>
      </c>
      <c r="M31" s="13" t="n">
        <f aca="false">M21+M30</f>
        <v>0</v>
      </c>
      <c r="N31" s="13" t="n">
        <f aca="false">N21+N30</f>
        <v>0</v>
      </c>
      <c r="O31" s="13" t="n">
        <f aca="false">O21+O30</f>
        <v>0</v>
      </c>
      <c r="P31" s="13" t="n">
        <f aca="false">P21+P30</f>
        <v>0</v>
      </c>
      <c r="Q31" s="13" t="n">
        <f aca="false">Q21+Q30</f>
        <v>0</v>
      </c>
    </row>
    <row r="32" customFormat="false" ht="15" hidden="false" customHeight="false" outlineLevel="0" collapsed="false">
      <c r="B32" s="9" t="s">
        <v>133</v>
      </c>
      <c r="C32" s="10" t="n">
        <v>-23928</v>
      </c>
      <c r="D32" s="10" t="n">
        <v>-25479</v>
      </c>
      <c r="E32" s="10" t="n">
        <v>-27190</v>
      </c>
      <c r="F32" s="10" t="n">
        <v>-8769</v>
      </c>
      <c r="G32" s="10" t="n">
        <v>-15743</v>
      </c>
      <c r="H32" s="10" t="n">
        <v>-22272</v>
      </c>
      <c r="I32" s="10" t="n">
        <v>-27170</v>
      </c>
      <c r="J32" s="10" t="n">
        <v>-5988</v>
      </c>
      <c r="K32" s="10" t="n">
        <v>-12383</v>
      </c>
      <c r="L32" s="8"/>
      <c r="M32" s="8"/>
      <c r="N32" s="8"/>
      <c r="O32" s="8"/>
      <c r="P32" s="8"/>
      <c r="Q32" s="8"/>
    </row>
    <row r="33" customFormat="false" ht="15" hidden="false" customHeight="false" outlineLevel="0" collapsed="false">
      <c r="B33" s="12" t="s">
        <v>134</v>
      </c>
      <c r="C33" s="13" t="n">
        <f aca="false">C31+C32</f>
        <v>53638</v>
      </c>
      <c r="D33" s="13" t="n">
        <f aca="false">D31+D32</f>
        <v>57645</v>
      </c>
      <c r="E33" s="13" t="n">
        <f aca="false">E31+E32</f>
        <v>61658</v>
      </c>
      <c r="F33" s="13" t="n">
        <f aca="false">F31+F32</f>
        <v>21162</v>
      </c>
      <c r="G33" s="13" t="n">
        <f aca="false">G31+G32</f>
        <v>37718</v>
      </c>
      <c r="H33" s="13" t="n">
        <f aca="false">H31+H32</f>
        <v>52755</v>
      </c>
      <c r="I33" s="13" t="n">
        <f aca="false">I31+I32</f>
        <v>63359</v>
      </c>
      <c r="J33" s="13" t="n">
        <f aca="false">J31+J32</f>
        <v>10796</v>
      </c>
      <c r="K33" s="13" t="n">
        <f aca="false">K31+K32</f>
        <v>24917</v>
      </c>
      <c r="L33" s="13" t="n">
        <f aca="false">L31+L32</f>
        <v>0</v>
      </c>
      <c r="M33" s="13" t="n">
        <f aca="false">M31+M32</f>
        <v>0</v>
      </c>
      <c r="N33" s="13" t="n">
        <f aca="false">N31+N32</f>
        <v>0</v>
      </c>
      <c r="O33" s="13" t="n">
        <f aca="false">O31+O32</f>
        <v>0</v>
      </c>
      <c r="P33" s="13" t="n">
        <f aca="false">P31+P32</f>
        <v>0</v>
      </c>
      <c r="Q33" s="13" t="n">
        <f aca="false">Q31+Q32</f>
        <v>0</v>
      </c>
    </row>
    <row r="34" customFormat="false" ht="15" hidden="false" customHeight="false" outlineLevel="0" collapsed="false">
      <c r="B34" s="19" t="s">
        <v>135</v>
      </c>
      <c r="C34" s="20" t="n">
        <f aca="false">IFERROR(C33/C8,"")</f>
        <v>0.109782779998485</v>
      </c>
      <c r="D34" s="20" t="n">
        <f aca="false">IFERROR(D33/D8,"")</f>
        <v>0.106601350339249</v>
      </c>
      <c r="E34" s="20" t="n">
        <f aca="false">IFERROR(E33/E8,"")</f>
        <v>0.108072768319594</v>
      </c>
      <c r="F34" s="20" t="n">
        <f aca="false">IFERROR(F33/F8,"")</f>
        <v>0.13726049787902</v>
      </c>
      <c r="G34" s="20" t="n">
        <f aca="false">IFERROR(G33/G8,"")</f>
        <v>0.126938506273222</v>
      </c>
      <c r="H34" s="20" t="n">
        <f aca="false">IFERROR(H33/H8,"")</f>
        <v>0.121216786301848</v>
      </c>
      <c r="I34" s="20" t="n">
        <f aca="false">IFERROR(I33/I8,"")</f>
        <v>0.108972672125706</v>
      </c>
      <c r="J34" s="20" t="n">
        <f aca="false">IFERROR(J33/J8,"")</f>
        <v>0.071964697569625</v>
      </c>
      <c r="K34" s="20" t="n">
        <f aca="false">IFERROR(K33/K8,"")</f>
        <v>0.0838016634547797</v>
      </c>
      <c r="L34" s="20" t="str">
        <f aca="false">IFERROR(L33/L8,"")</f>
        <v/>
      </c>
      <c r="M34" s="20" t="str">
        <f aca="false">IFERROR(M33/M8,"")</f>
        <v/>
      </c>
      <c r="N34" s="20" t="str">
        <f aca="false">IFERROR(N33/N8,"")</f>
        <v/>
      </c>
      <c r="O34" s="20" t="str">
        <f aca="false">IFERROR(O33/O8,"")</f>
        <v/>
      </c>
      <c r="P34" s="20" t="str">
        <f aca="false">IFERROR(P33/P8,"")</f>
        <v/>
      </c>
      <c r="Q34" s="20" t="str">
        <f aca="false">IFERROR(Q33/Q8,"")</f>
        <v/>
      </c>
    </row>
    <row r="35" customFormat="false" ht="15" hidden="false" customHeight="false" outlineLevel="0" collapsed="false">
      <c r="B35" s="11" t="s">
        <v>136</v>
      </c>
      <c r="C35" s="18" t="n">
        <f aca="false">IF(ISBLANK(C6),"",C33-'Flujo de Caja'!C7)</f>
        <v>0</v>
      </c>
      <c r="D35" s="18" t="n">
        <f aca="false">IF(ISBLANK(D6),"",D33-'Flujo de Caja'!D7)</f>
        <v>0</v>
      </c>
      <c r="E35" s="18" t="n">
        <f aca="false">IF(ISBLANK(E6),"",E33-'Flujo de Caja'!E7)</f>
        <v>0</v>
      </c>
      <c r="F35" s="18" t="n">
        <f aca="false">IF(ISBLANK(F6),"",F33-'Flujo de Caja'!F7)</f>
        <v>0</v>
      </c>
      <c r="G35" s="18" t="n">
        <f aca="false">IF(ISBLANK(G6),"",G33-'Flujo de Caja'!G7)</f>
        <v>0</v>
      </c>
      <c r="H35" s="18" t="n">
        <f aca="false">IF(ISBLANK(H6),"",H33-'Flujo de Caja'!H7)</f>
        <v>0</v>
      </c>
      <c r="I35" s="18" t="n">
        <f aca="false">IF(ISBLANK(I6),"",I33-'Flujo de Caja'!I7)</f>
        <v>0</v>
      </c>
      <c r="J35" s="18" t="n">
        <f aca="false">IF(ISBLANK(J6),"",J33-'Flujo de Caja'!J7)</f>
        <v>0</v>
      </c>
      <c r="K35" s="18" t="n">
        <f aca="false">IF(ISBLANK(K6),"",K33-'Flujo de Caja'!K7)</f>
        <v>0</v>
      </c>
      <c r="L35" s="18" t="str">
        <f aca="false">IF(ISBLANK(L6),"",L33-'Flujo de Caja'!L7)</f>
        <v/>
      </c>
      <c r="M35" s="18" t="str">
        <f aca="false">IF(ISBLANK(M6),"",M33-'Flujo de Caja'!M7)</f>
        <v/>
      </c>
      <c r="N35" s="18" t="str">
        <f aca="false">IF(ISBLANK(N6),"",N33-'Flujo de Caja'!N7)</f>
        <v/>
      </c>
      <c r="O35" s="18" t="str">
        <f aca="false">IF(ISBLANK(O6),"",O33-'Flujo de Caja'!O7)</f>
        <v/>
      </c>
      <c r="P35" s="18" t="str">
        <f aca="false">IF(ISBLANK(P6),"",P33-'Flujo de Caja'!P7)</f>
        <v/>
      </c>
      <c r="Q35" s="18" t="str">
        <f aca="false">IF(ISBLANK(Q6),"",Q33-'Flujo de Caja'!Q7)</f>
        <v/>
      </c>
    </row>
    <row r="37" customFormat="false" ht="15" hidden="false" customHeight="false" outlineLevel="0" collapsed="false">
      <c r="B37" s="9" t="s">
        <v>137</v>
      </c>
      <c r="C37" s="25" t="n">
        <v>0.315</v>
      </c>
      <c r="D37" s="25" t="n">
        <v>0.339</v>
      </c>
      <c r="E37" s="25" t="n">
        <v>0.362</v>
      </c>
      <c r="F37" s="25" t="n">
        <v>0.124</v>
      </c>
      <c r="G37" s="25" t="n">
        <v>0.222</v>
      </c>
      <c r="H37" s="25" t="n">
        <v>0.31</v>
      </c>
      <c r="I37" s="25" t="n">
        <v>0.372</v>
      </c>
      <c r="J37" s="25" t="n">
        <v>0.063</v>
      </c>
      <c r="K37" s="25" t="n">
        <v>0.146</v>
      </c>
      <c r="L37" s="26"/>
      <c r="M37" s="26"/>
      <c r="N37" s="26"/>
      <c r="O37" s="26"/>
      <c r="P37" s="26"/>
      <c r="Q37" s="26"/>
    </row>
  </sheetData>
  <mergeCells count="2">
    <mergeCell ref="B1:Q1"/>
    <mergeCell ref="B2:Q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N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17" min="3" style="0" width="13"/>
  </cols>
  <sheetData>
    <row r="1" customFormat="false" ht="21.75" hidden="false" customHeight="true" outlineLevel="0" collapsed="false">
      <c r="B1" s="1" t="s">
        <v>138</v>
      </c>
      <c r="C1" s="1"/>
      <c r="D1" s="1"/>
      <c r="E1" s="1"/>
      <c r="F1" s="1"/>
      <c r="G1" s="1"/>
      <c r="H1" s="1"/>
      <c r="I1" s="1"/>
      <c r="J1" s="1"/>
      <c r="K1" s="1"/>
      <c r="L1" s="1"/>
      <c r="M1" s="1"/>
      <c r="N1" s="1"/>
    </row>
    <row r="2" customFormat="false" ht="15" hidden="false" customHeight="false" outlineLevel="0" collapsed="false">
      <c r="B2" s="2" t="s">
        <v>139</v>
      </c>
      <c r="C2" s="2"/>
      <c r="D2" s="2"/>
      <c r="E2" s="2"/>
      <c r="F2" s="2"/>
      <c r="G2" s="2"/>
      <c r="H2" s="2"/>
      <c r="I2" s="2"/>
      <c r="J2" s="2"/>
      <c r="K2" s="2"/>
      <c r="L2" s="2"/>
      <c r="M2" s="2"/>
      <c r="N2" s="2"/>
    </row>
    <row r="4" customFormat="false" ht="15" hidden="false" customHeight="false" outlineLevel="0" collapsed="false">
      <c r="B4" s="5" t="s">
        <v>140</v>
      </c>
      <c r="C4" s="5"/>
      <c r="D4" s="5"/>
      <c r="E4" s="5"/>
      <c r="F4" s="5"/>
      <c r="G4" s="5"/>
      <c r="H4" s="5"/>
      <c r="I4" s="5"/>
      <c r="J4" s="5"/>
      <c r="K4" s="5"/>
      <c r="L4" s="5"/>
      <c r="M4" s="5"/>
      <c r="N4" s="5"/>
    </row>
    <row r="5" customFormat="false" ht="15" hidden="false" customHeight="false" outlineLevel="0" collapsed="false">
      <c r="B5" s="3" t="s">
        <v>2</v>
      </c>
      <c r="C5" s="4" t="s">
        <v>141</v>
      </c>
      <c r="D5" s="4" t="s">
        <v>142</v>
      </c>
      <c r="E5" s="4" t="s">
        <v>143</v>
      </c>
    </row>
    <row r="6" customFormat="false" ht="15" hidden="false" customHeight="false" outlineLevel="0" collapsed="false">
      <c r="B6" s="9" t="s">
        <v>144</v>
      </c>
      <c r="C6" s="10" t="n">
        <v>151655</v>
      </c>
      <c r="D6" s="10" t="n">
        <v>291627</v>
      </c>
      <c r="E6" s="10" t="n">
        <v>422622</v>
      </c>
    </row>
    <row r="7" customFormat="false" ht="15" hidden="false" customHeight="false" outlineLevel="0" collapsed="false">
      <c r="B7" s="9" t="s">
        <v>115</v>
      </c>
      <c r="C7" s="10" t="n">
        <v>50187</v>
      </c>
      <c r="D7" s="10" t="n">
        <v>97911</v>
      </c>
      <c r="E7" s="10" t="n">
        <v>138388</v>
      </c>
    </row>
    <row r="8" customFormat="false" ht="15" hidden="false" customHeight="false" outlineLevel="0" collapsed="false">
      <c r="B8" s="9" t="s">
        <v>123</v>
      </c>
      <c r="C8" s="10" t="n">
        <v>32945</v>
      </c>
      <c r="D8" s="10" t="n">
        <v>61760</v>
      </c>
      <c r="E8" s="10" t="n">
        <v>85900</v>
      </c>
    </row>
    <row r="9" customFormat="false" ht="15" hidden="false" customHeight="false" outlineLevel="0" collapsed="false">
      <c r="B9" s="9" t="s">
        <v>126</v>
      </c>
      <c r="C9" s="10" t="n">
        <v>45761</v>
      </c>
      <c r="D9" s="10" t="n">
        <v>87922</v>
      </c>
      <c r="E9" s="10" t="n">
        <v>125844</v>
      </c>
    </row>
    <row r="10" customFormat="false" ht="15" hidden="false" customHeight="false" outlineLevel="0" collapsed="false">
      <c r="B10" s="9" t="s">
        <v>134</v>
      </c>
      <c r="C10" s="10" t="n">
        <v>18247</v>
      </c>
      <c r="D10" s="10" t="n">
        <v>32663</v>
      </c>
      <c r="E10" s="10" t="n">
        <v>47649</v>
      </c>
    </row>
    <row r="11" customFormat="false" ht="15" hidden="false" customHeight="false" outlineLevel="0" collapsed="false">
      <c r="B11" s="9" t="s">
        <v>145</v>
      </c>
      <c r="C11" s="10" t="n">
        <v>20922</v>
      </c>
      <c r="D11" s="10" t="n">
        <v>66183</v>
      </c>
      <c r="E11" s="10" t="n">
        <v>104420</v>
      </c>
    </row>
    <row r="12" customFormat="false" ht="15" hidden="false" customHeight="false" outlineLevel="0" collapsed="false">
      <c r="B12" s="9" t="s">
        <v>146</v>
      </c>
      <c r="C12" s="10" t="n">
        <v>-13366</v>
      </c>
      <c r="D12" s="10" t="n">
        <v>-42178</v>
      </c>
      <c r="E12" s="10" t="n">
        <v>-63955</v>
      </c>
    </row>
    <row r="14" customFormat="false" ht="15" hidden="false" customHeight="false" outlineLevel="0" collapsed="false">
      <c r="B14" s="16" t="s">
        <v>147</v>
      </c>
    </row>
    <row r="16" customFormat="false" ht="15" hidden="false" customHeight="false" outlineLevel="0" collapsed="false">
      <c r="B16" s="3" t="s">
        <v>2</v>
      </c>
      <c r="C16" s="4" t="s">
        <v>148</v>
      </c>
      <c r="D16" s="4" t="s">
        <v>149</v>
      </c>
      <c r="E16" s="4" t="s">
        <v>150</v>
      </c>
      <c r="F16" s="4" t="s">
        <v>151</v>
      </c>
      <c r="G16" s="4" t="s">
        <v>6</v>
      </c>
      <c r="H16" s="4" t="s">
        <v>152</v>
      </c>
      <c r="I16" s="4" t="s">
        <v>153</v>
      </c>
      <c r="J16" s="4" t="s">
        <v>154</v>
      </c>
      <c r="K16" s="4" t="s">
        <v>10</v>
      </c>
      <c r="L16" s="4" t="s">
        <v>155</v>
      </c>
      <c r="M16" s="4" t="s">
        <v>156</v>
      </c>
      <c r="N16" s="4" t="s">
        <v>157</v>
      </c>
    </row>
    <row r="17" customFormat="false" ht="15" hidden="false" customHeight="false" outlineLevel="0" collapsed="false">
      <c r="B17" s="21" t="s">
        <v>144</v>
      </c>
      <c r="C17" s="22" t="n">
        <f aca="false">IF(C6=0,"",C6)</f>
        <v>151655</v>
      </c>
      <c r="D17" s="22" t="n">
        <f aca="false">IF(D6=0,"",D6-(C6))</f>
        <v>139972</v>
      </c>
      <c r="E17" s="22" t="n">
        <f aca="false">IF(E6=0,"",E6-(D6))</f>
        <v>130995</v>
      </c>
      <c r="F17" s="22" t="n">
        <f aca="false">IF(Resultados!E8=0,"",Resultados!E8-(E6))</f>
        <v>147901</v>
      </c>
      <c r="G17" s="22" t="n">
        <f aca="false">IF(Resultados!F8=0,"",Resultados!F8)</f>
        <v>154174</v>
      </c>
      <c r="H17" s="22" t="n">
        <f aca="false">IF(Resultados!G8=0,"",Resultados!G8-(Resultados!F8))</f>
        <v>142962</v>
      </c>
      <c r="I17" s="22" t="n">
        <f aca="false">IF(Resultados!H8=0,"",Resultados!H8-(Resultados!G8))</f>
        <v>138076</v>
      </c>
      <c r="J17" s="22" t="n">
        <f aca="false">IF(Resultados!I8=0,"",Resultados!I8-(Resultados!H8))</f>
        <v>146209</v>
      </c>
      <c r="K17" s="22" t="n">
        <f aca="false">IF(Resultados!J8=0,"",Resultados!J8)</f>
        <v>150018</v>
      </c>
      <c r="L17" s="22" t="n">
        <f aca="false">IF(Resultados!K8=0,"",Resultados!K8-(Resultados!J8))</f>
        <v>147315</v>
      </c>
      <c r="M17" s="22" t="str">
        <f aca="false">IF(Resultados!L8=0,"",Resultados!L8-(Resultados!K8))</f>
        <v/>
      </c>
      <c r="N17" s="22" t="str">
        <f aca="false">IF(Resultados!M8=0,"",Resultados!M8-(Resultados!L8))</f>
        <v/>
      </c>
    </row>
    <row r="18" customFormat="false" ht="15" hidden="false" customHeight="false" outlineLevel="0" collapsed="false">
      <c r="B18" s="21" t="s">
        <v>115</v>
      </c>
      <c r="C18" s="22" t="n">
        <f aca="false">IF(C7=0,"",C7)</f>
        <v>50187</v>
      </c>
      <c r="D18" s="22" t="n">
        <f aca="false">IF(D7=0,"",D7-(C7))</f>
        <v>47724</v>
      </c>
      <c r="E18" s="22" t="n">
        <f aca="false">IF(E7=0,"",E7-(D7))</f>
        <v>40477</v>
      </c>
      <c r="F18" s="22" t="n">
        <f aca="false">IF(Resultados!E12=0,"",Resultados!E12-(E7))</f>
        <v>45362</v>
      </c>
      <c r="G18" s="22" t="n">
        <f aca="false">IF(Resultados!F12=0,"",Resultados!F12)</f>
        <v>50397</v>
      </c>
      <c r="H18" s="22" t="n">
        <f aca="false">IF(Resultados!G12=0,"",Resultados!G12-(Resultados!F12))</f>
        <v>47233</v>
      </c>
      <c r="I18" s="22" t="n">
        <f aca="false">IF(Resultados!H12=0,"",Resultados!H12-(Resultados!G12))</f>
        <v>45305</v>
      </c>
      <c r="J18" s="22" t="n">
        <f aca="false">IF(Resultados!I12=0,"",Resultados!I12-(Resultados!H12))</f>
        <v>39645</v>
      </c>
      <c r="K18" s="22" t="n">
        <f aca="false">IF(Resultados!J12=0,"",Resultados!J12)</f>
        <v>43477</v>
      </c>
      <c r="L18" s="22" t="n">
        <f aca="false">IF(Resultados!K12=0,"",Resultados!K12-(Resultados!J12))</f>
        <v>42795</v>
      </c>
      <c r="M18" s="22" t="str">
        <f aca="false">IF(Resultados!L12=0,"",Resultados!L12-(Resultados!K12))</f>
        <v/>
      </c>
      <c r="N18" s="22" t="str">
        <f aca="false">IF(Resultados!M12=0,"",Resultados!M12-(Resultados!L12))</f>
        <v/>
      </c>
    </row>
    <row r="19" customFormat="false" ht="15" hidden="false" customHeight="false" outlineLevel="0" collapsed="false">
      <c r="B19" s="14" t="s">
        <v>123</v>
      </c>
      <c r="C19" s="15" t="n">
        <f aca="false">IF(C8=0,"",C8)</f>
        <v>32945</v>
      </c>
      <c r="D19" s="15" t="n">
        <f aca="false">IF(D8=0,"",D8-(C8))</f>
        <v>28815</v>
      </c>
      <c r="E19" s="15" t="n">
        <f aca="false">IF(E8=0,"",E8-(D8))</f>
        <v>24140</v>
      </c>
      <c r="F19" s="15" t="n">
        <f aca="false">IF(Resultados!E21=0,"",Resultados!E21-(E8))</f>
        <v>28142</v>
      </c>
      <c r="G19" s="15" t="n">
        <f aca="false">IF(Resultados!F21=0,"",Resultados!F21)</f>
        <v>33656</v>
      </c>
      <c r="H19" s="15" t="n">
        <f aca="false">IF(Resultados!G21=0,"",Resultados!G21-(Resultados!F21))</f>
        <v>28464</v>
      </c>
      <c r="I19" s="15" t="n">
        <f aca="false">IF(Resultados!H21=0,"",Resultados!H21-(Resultados!G21))</f>
        <v>26957</v>
      </c>
      <c r="J19" s="15" t="n">
        <f aca="false">IF(Resultados!I21=0,"",Resultados!I21-(Resultados!H21))</f>
        <v>21031</v>
      </c>
      <c r="K19" s="15" t="n">
        <f aca="false">IF(Resultados!J21=0,"",Resultados!J21)</f>
        <v>25471</v>
      </c>
      <c r="L19" s="15" t="n">
        <f aca="false">IF(Resultados!K21=0,"",Resultados!K21-(Resultados!J21))</f>
        <v>26256</v>
      </c>
      <c r="M19" s="15" t="str">
        <f aca="false">IF(Resultados!L21=0,"",Resultados!L21-(Resultados!K21))</f>
        <v/>
      </c>
      <c r="N19" s="15" t="str">
        <f aca="false">IF(Resultados!M21=0,"",Resultados!M21-(Resultados!L21))</f>
        <v/>
      </c>
    </row>
    <row r="20" customFormat="false" ht="15" hidden="false" customHeight="false" outlineLevel="0" collapsed="false">
      <c r="B20" s="21" t="s">
        <v>126</v>
      </c>
      <c r="C20" s="22" t="n">
        <f aca="false">IF(C9=0,"",C9)</f>
        <v>45761</v>
      </c>
      <c r="D20" s="22" t="n">
        <f aca="false">IF(D9=0,"",D9-(C9))</f>
        <v>42161</v>
      </c>
      <c r="E20" s="22" t="n">
        <f aca="false">IF(E9=0,"",E9-(D9))</f>
        <v>37922</v>
      </c>
      <c r="F20" s="22" t="n">
        <f aca="false">IF(Resultados!E24=0,"",Resultados!E24-(E9))</f>
        <v>42843</v>
      </c>
      <c r="G20" s="22" t="n">
        <f aca="false">IF(Resultados!F24=0,"",Resultados!F24)</f>
        <v>48628</v>
      </c>
      <c r="H20" s="22" t="n">
        <f aca="false">IF(Resultados!G24=0,"",Resultados!G24-(Resultados!F24))</f>
        <v>43467</v>
      </c>
      <c r="I20" s="22" t="n">
        <f aca="false">IF(Resultados!H24=0,"",Resultados!H24-(Resultados!G24))</f>
        <v>42313</v>
      </c>
      <c r="J20" s="22" t="n">
        <f aca="false">IF(Resultados!I24=0,"",Resultados!I24-(Resultados!H24))</f>
        <v>36863</v>
      </c>
      <c r="K20" s="22" t="n">
        <f aca="false">IF(Resultados!J24=0,"",Resultados!J24)</f>
        <v>41020</v>
      </c>
      <c r="L20" s="22" t="n">
        <f aca="false">IF(Resultados!K24=0,"",Resultados!K24-(Resultados!J24))</f>
        <v>42445</v>
      </c>
      <c r="M20" s="22" t="str">
        <f aca="false">IF(Resultados!L24=0,"",Resultados!L24-(Resultados!K24))</f>
        <v/>
      </c>
      <c r="N20" s="22" t="str">
        <f aca="false">IF(Resultados!M24=0,"",Resultados!M24-(Resultados!L24))</f>
        <v/>
      </c>
    </row>
    <row r="21" customFormat="false" ht="15" hidden="false" customHeight="false" outlineLevel="0" collapsed="false">
      <c r="B21" s="14" t="s">
        <v>134</v>
      </c>
      <c r="C21" s="15" t="n">
        <f aca="false">IF(C10=0,"",C10)</f>
        <v>18247</v>
      </c>
      <c r="D21" s="15" t="n">
        <f aca="false">IF(D10=0,"",D10-(C10))</f>
        <v>14416</v>
      </c>
      <c r="E21" s="15" t="n">
        <f aca="false">IF(E10=0,"",E10-(D10))</f>
        <v>14986</v>
      </c>
      <c r="F21" s="15" t="n">
        <f aca="false">IF(Resultados!E33=0,"",Resultados!E33-(E10))</f>
        <v>14009</v>
      </c>
      <c r="G21" s="15" t="n">
        <f aca="false">IF(Resultados!F33=0,"",Resultados!F33)</f>
        <v>21162</v>
      </c>
      <c r="H21" s="15" t="n">
        <f aca="false">IF(Resultados!G33=0,"",Resultados!G33-(Resultados!F33))</f>
        <v>16556</v>
      </c>
      <c r="I21" s="15" t="n">
        <f aca="false">IF(Resultados!H33=0,"",Resultados!H33-(Resultados!G33))</f>
        <v>15037</v>
      </c>
      <c r="J21" s="15" t="n">
        <f aca="false">IF(Resultados!I33=0,"",Resultados!I33-(Resultados!H33))</f>
        <v>10604</v>
      </c>
      <c r="K21" s="15" t="n">
        <f aca="false">IF(Resultados!J33=0,"",Resultados!J33)</f>
        <v>10796</v>
      </c>
      <c r="L21" s="15" t="n">
        <f aca="false">IF(Resultados!K33=0,"",Resultados!K33-(Resultados!J33))</f>
        <v>14121</v>
      </c>
      <c r="M21" s="15" t="str">
        <f aca="false">IF(Resultados!L33=0,"",Resultados!L33-(Resultados!K33))</f>
        <v/>
      </c>
      <c r="N21" s="15" t="str">
        <f aca="false">IF(Resultados!M33=0,"",Resultados!M33-(Resultados!L33))</f>
        <v/>
      </c>
    </row>
    <row r="22" customFormat="false" ht="15" hidden="false" customHeight="false" outlineLevel="0" collapsed="false">
      <c r="B22" s="21" t="s">
        <v>145</v>
      </c>
      <c r="C22" s="22" t="n">
        <f aca="false">IF(C11=0,"",C11)</f>
        <v>20922</v>
      </c>
      <c r="D22" s="22" t="n">
        <f aca="false">IF(D11=0,"",D11-(C11))</f>
        <v>45261</v>
      </c>
      <c r="E22" s="22" t="n">
        <f aca="false">IF(E11=0,"",E11-(D11))</f>
        <v>38237</v>
      </c>
      <c r="F22" s="22" t="n">
        <f aca="false">IF('Flujo de Caja'!E32=0,"",'Flujo de Caja'!E32-(E11))</f>
        <v>35246</v>
      </c>
      <c r="G22" s="22" t="n">
        <f aca="false">IF('Flujo de Caja'!F32=0,"",'Flujo de Caja'!F32)</f>
        <v>39992</v>
      </c>
      <c r="H22" s="22" t="n">
        <f aca="false">IF('Flujo de Caja'!G32=0,"",'Flujo de Caja'!G32-('Flujo de Caja'!F32))</f>
        <v>35652</v>
      </c>
      <c r="I22" s="22" t="n">
        <f aca="false">IF('Flujo de Caja'!H32=0,"",'Flujo de Caja'!H32-('Flujo de Caja'!G32))</f>
        <v>44026</v>
      </c>
      <c r="J22" s="22" t="n">
        <f aca="false">IF('Flujo de Caja'!I32=0,"",'Flujo de Caja'!I32-('Flujo de Caja'!H32))</f>
        <v>32063</v>
      </c>
      <c r="K22" s="22" t="n">
        <f aca="false">IF('Flujo de Caja'!J32=0,"",'Flujo de Caja'!J32)</f>
        <v>23453</v>
      </c>
      <c r="L22" s="22" t="n">
        <f aca="false">IF('Flujo de Caja'!K32=0,"",'Flujo de Caja'!K32-('Flujo de Caja'!J32))</f>
        <v>26968</v>
      </c>
      <c r="M22" s="22" t="str">
        <f aca="false">IF('Flujo de Caja'!L32=0,"",'Flujo de Caja'!L32-('Flujo de Caja'!K32))</f>
        <v/>
      </c>
      <c r="N22" s="22" t="str">
        <f aca="false">IF('Flujo de Caja'!M32=0,"",'Flujo de Caja'!M32-('Flujo de Caja'!L32))</f>
        <v/>
      </c>
    </row>
    <row r="23" customFormat="false" ht="15" hidden="false" customHeight="false" outlineLevel="0" collapsed="false">
      <c r="B23" s="21" t="s">
        <v>146</v>
      </c>
      <c r="C23" s="22" t="n">
        <f aca="false">IF(C12=0,"",C12)</f>
        <v>-13366</v>
      </c>
      <c r="D23" s="22" t="n">
        <f aca="false">IF(D12=0,"",D12-(C12))</f>
        <v>-28812</v>
      </c>
      <c r="E23" s="22" t="n">
        <f aca="false">IF(E12=0,"",E12-(D12))</f>
        <v>-21777</v>
      </c>
      <c r="F23" s="22" t="n">
        <f aca="false">IF('Flujo de Caja'!E35+'Flujo de Caja'!E36=0,"",'Flujo de Caja'!E35+'Flujo de Caja'!E36-(E12))</f>
        <v>-24155</v>
      </c>
      <c r="G23" s="22" t="n">
        <f aca="false">IF('Flujo de Caja'!F35+'Flujo de Caja'!F36=0,"",'Flujo de Caja'!F35+'Flujo de Caja'!F36)</f>
        <v>-15231</v>
      </c>
      <c r="H23" s="22" t="n">
        <f aca="false">IF('Flujo de Caja'!G35+'Flujo de Caja'!G36=0,"",'Flujo de Caja'!G35+'Flujo de Caja'!G36-('Flujo de Caja'!F35+'Flujo de Caja'!F36))</f>
        <v>-26308</v>
      </c>
      <c r="I23" s="22" t="n">
        <f aca="false">IF('Flujo de Caja'!H35+'Flujo de Caja'!H36=0,"",'Flujo de Caja'!H35+'Flujo de Caja'!H36-('Flujo de Caja'!G35+'Flujo de Caja'!G36))</f>
        <v>-33241</v>
      </c>
      <c r="J23" s="22" t="n">
        <f aca="false">IF('Flujo de Caja'!I35+'Flujo de Caja'!I36=0,"",'Flujo de Caja'!I35+'Flujo de Caja'!I36-('Flujo de Caja'!H35+'Flujo de Caja'!H36))</f>
        <v>-34533</v>
      </c>
      <c r="K23" s="22" t="n">
        <f aca="false">IF('Flujo de Caja'!J35+'Flujo de Caja'!J36=0,"",'Flujo de Caja'!J35+'Flujo de Caja'!J36)</f>
        <v>-15824</v>
      </c>
      <c r="L23" s="22" t="n">
        <f aca="false">IF('Flujo de Caja'!K35+'Flujo de Caja'!K36=0,"",'Flujo de Caja'!K35+'Flujo de Caja'!K36-('Flujo de Caja'!J35+'Flujo de Caja'!J36))</f>
        <v>-21061</v>
      </c>
      <c r="M23" s="22" t="str">
        <f aca="false">IF('Flujo de Caja'!L35+'Flujo de Caja'!L36=0,"",'Flujo de Caja'!L35+'Flujo de Caja'!L36-('Flujo de Caja'!K35+'Flujo de Caja'!K36))</f>
        <v/>
      </c>
      <c r="N23" s="22" t="str">
        <f aca="false">IF('Flujo de Caja'!M35+'Flujo de Caja'!M36=0,"",'Flujo de Caja'!M35+'Flujo de Caja'!M36-('Flujo de Caja'!L35+'Flujo de Caja'!L36))</f>
        <v/>
      </c>
    </row>
    <row r="25" customFormat="false" ht="15" hidden="false" customHeight="false" outlineLevel="0" collapsed="false">
      <c r="B25" s="14" t="s">
        <v>158</v>
      </c>
      <c r="C25" s="15" t="n">
        <f aca="false">IF(OR(C22="",C23=""),"",C22+C23)</f>
        <v>7556</v>
      </c>
      <c r="D25" s="15" t="n">
        <f aca="false">IF(OR(D22="",D23=""),"",D22+D23)</f>
        <v>16449</v>
      </c>
      <c r="E25" s="15" t="n">
        <f aca="false">IF(OR(E22="",E23=""),"",E22+E23)</f>
        <v>16460</v>
      </c>
      <c r="F25" s="15" t="n">
        <f aca="false">IF(OR(F22="",F23=""),"",F22+F23)</f>
        <v>11091</v>
      </c>
      <c r="G25" s="15" t="n">
        <f aca="false">IF(OR(G22="",G23=""),"",G22+G23)</f>
        <v>24761</v>
      </c>
      <c r="H25" s="15" t="n">
        <f aca="false">IF(OR(H22="",H23=""),"",H22+H23)</f>
        <v>9344</v>
      </c>
      <c r="I25" s="15" t="n">
        <f aca="false">IF(OR(I22="",I23=""),"",I22+I23)</f>
        <v>10785</v>
      </c>
      <c r="J25" s="15" t="n">
        <f aca="false">IF(OR(J22="",J23=""),"",J22+J23)</f>
        <v>-2470</v>
      </c>
      <c r="K25" s="15" t="n">
        <f aca="false">IF(OR(K22="",K23=""),"",K22+K23)</f>
        <v>7629</v>
      </c>
      <c r="L25" s="15" t="n">
        <f aca="false">IF(OR(L22="",L23=""),"",L22+L23)</f>
        <v>5907</v>
      </c>
      <c r="M25" s="15" t="str">
        <f aca="false">IF(OR(M22="",M23=""),"",M22+M23)</f>
        <v/>
      </c>
      <c r="N25" s="15" t="str">
        <f aca="false">IF(OR(N22="",N23=""),"",N22+N23)</f>
        <v/>
      </c>
    </row>
  </sheetData>
  <mergeCells count="3">
    <mergeCell ref="B1:N1"/>
    <mergeCell ref="B2:N2"/>
    <mergeCell ref="B4:N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Q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17" min="3" style="0" width="13"/>
  </cols>
  <sheetData>
    <row r="1" customFormat="false" ht="21.75" hidden="false" customHeight="true" outlineLevel="0" collapsed="false">
      <c r="B1" s="1" t="s">
        <v>159</v>
      </c>
      <c r="C1" s="1"/>
      <c r="D1" s="1"/>
      <c r="E1" s="1"/>
      <c r="F1" s="1"/>
      <c r="G1" s="1"/>
      <c r="H1" s="1"/>
      <c r="I1" s="1"/>
      <c r="J1" s="1"/>
      <c r="K1" s="1"/>
      <c r="L1" s="1"/>
      <c r="M1" s="1"/>
      <c r="N1" s="1"/>
      <c r="O1" s="1"/>
      <c r="P1" s="1"/>
      <c r="Q1" s="1"/>
    </row>
    <row r="2" customFormat="false" ht="15" hidden="false" customHeight="false" outlineLevel="0" collapsed="false">
      <c r="B2" s="2" t="s">
        <v>160</v>
      </c>
      <c r="C2" s="2"/>
      <c r="D2" s="2"/>
      <c r="E2" s="2"/>
      <c r="F2" s="2"/>
      <c r="G2" s="2"/>
      <c r="H2" s="2"/>
      <c r="I2" s="2"/>
      <c r="J2" s="2"/>
      <c r="K2" s="2"/>
      <c r="L2" s="2"/>
      <c r="M2" s="2"/>
      <c r="N2" s="2"/>
      <c r="O2" s="2"/>
      <c r="P2" s="2"/>
      <c r="Q2" s="2"/>
    </row>
    <row r="4" customFormat="false" ht="15.75" hidden="false" customHeight="true" outlineLevel="0" collapsed="false">
      <c r="B4" s="3" t="s">
        <v>2</v>
      </c>
      <c r="C4" s="4" t="s">
        <v>3</v>
      </c>
      <c r="D4" s="4" t="s">
        <v>4</v>
      </c>
      <c r="E4" s="4" t="s">
        <v>5</v>
      </c>
      <c r="F4" s="4" t="s">
        <v>6</v>
      </c>
      <c r="G4" s="4" t="s">
        <v>7</v>
      </c>
      <c r="H4" s="4" t="s">
        <v>8</v>
      </c>
      <c r="I4" s="4" t="s">
        <v>9</v>
      </c>
      <c r="J4" s="4" t="s">
        <v>10</v>
      </c>
      <c r="K4" s="4" t="s">
        <v>11</v>
      </c>
      <c r="L4" s="4" t="s">
        <v>12</v>
      </c>
      <c r="M4" s="4" t="s">
        <v>13</v>
      </c>
      <c r="N4" s="4" t="s">
        <v>14</v>
      </c>
      <c r="O4" s="4" t="s">
        <v>15</v>
      </c>
      <c r="P4" s="4" t="s">
        <v>16</v>
      </c>
      <c r="Q4" s="4" t="s">
        <v>17</v>
      </c>
    </row>
    <row r="6" customFormat="false" ht="15" hidden="false" customHeight="false" outlineLevel="0" collapsed="false">
      <c r="B6" s="21" t="s">
        <v>70</v>
      </c>
      <c r="C6" s="22" t="n">
        <f aca="false">'Situacion Financiera'!C7</f>
        <v>87655</v>
      </c>
      <c r="D6" s="22" t="n">
        <f aca="false">'Situacion Financiera'!D7</f>
        <v>84151</v>
      </c>
      <c r="E6" s="22" t="n">
        <f aca="false">'Situacion Financiera'!E7</f>
        <v>86431</v>
      </c>
      <c r="F6" s="22" t="n">
        <f aca="false">'Situacion Financiera'!F7</f>
        <v>85574</v>
      </c>
      <c r="G6" s="22" t="n">
        <f aca="false">'Situacion Financiera'!G7</f>
        <v>79021</v>
      </c>
      <c r="H6" s="22" t="n">
        <f aca="false">'Situacion Financiera'!H7</f>
        <v>77588</v>
      </c>
      <c r="I6" s="22" t="n">
        <f aca="false">'Situacion Financiera'!I7</f>
        <v>81197</v>
      </c>
      <c r="J6" s="22" t="n">
        <f aca="false">'Situacion Financiera'!J7</f>
        <v>82127</v>
      </c>
      <c r="K6" s="22" t="n">
        <f aca="false">'Situacion Financiera'!K7</f>
        <v>84205</v>
      </c>
      <c r="L6" s="22" t="n">
        <f aca="false">'Situacion Financiera'!L7</f>
        <v>0</v>
      </c>
      <c r="M6" s="22" t="n">
        <f aca="false">'Situacion Financiera'!M7</f>
        <v>0</v>
      </c>
      <c r="N6" s="22" t="n">
        <f aca="false">'Situacion Financiera'!N7</f>
        <v>0</v>
      </c>
      <c r="O6" s="22" t="n">
        <f aca="false">'Situacion Financiera'!O7</f>
        <v>0</v>
      </c>
      <c r="P6" s="22" t="n">
        <f aca="false">'Situacion Financiera'!P7</f>
        <v>0</v>
      </c>
      <c r="Q6" s="22" t="n">
        <f aca="false">'Situacion Financiera'!Q7</f>
        <v>0</v>
      </c>
    </row>
    <row r="7" customFormat="false" ht="15" hidden="false" customHeight="false" outlineLevel="0" collapsed="false">
      <c r="B7" s="21" t="s">
        <v>161</v>
      </c>
      <c r="C7" s="22" t="n">
        <f aca="false">'Situacion Financiera'!C8+'Situacion Financiera'!C9</f>
        <v>47121</v>
      </c>
      <c r="D7" s="22" t="n">
        <f aca="false">'Situacion Financiera'!D8+'Situacion Financiera'!D9</f>
        <v>5594</v>
      </c>
      <c r="E7" s="22" t="n">
        <f aca="false">'Situacion Financiera'!E8+'Situacion Financiera'!E9</f>
        <v>30070</v>
      </c>
      <c r="F7" s="22" t="n">
        <f aca="false">'Situacion Financiera'!F8+'Situacion Financiera'!F9</f>
        <v>30179</v>
      </c>
      <c r="G7" s="22" t="n">
        <f aca="false">'Situacion Financiera'!G8+'Situacion Financiera'!G9</f>
        <v>29875</v>
      </c>
      <c r="H7" s="22" t="n">
        <f aca="false">'Situacion Financiera'!H8+'Situacion Financiera'!H9</f>
        <v>20371</v>
      </c>
      <c r="I7" s="22" t="n">
        <f aca="false">'Situacion Financiera'!I8+'Situacion Financiera'!I9</f>
        <v>18571</v>
      </c>
      <c r="J7" s="22" t="n">
        <f aca="false">'Situacion Financiera'!J8+'Situacion Financiera'!J9</f>
        <v>18244</v>
      </c>
      <c r="K7" s="22" t="n">
        <f aca="false">'Situacion Financiera'!K8+'Situacion Financiera'!K9</f>
        <v>18015</v>
      </c>
      <c r="L7" s="22" t="n">
        <f aca="false">'Situacion Financiera'!L8+'Situacion Financiera'!L9</f>
        <v>0</v>
      </c>
      <c r="M7" s="22" t="n">
        <f aca="false">'Situacion Financiera'!M8+'Situacion Financiera'!M9</f>
        <v>0</v>
      </c>
      <c r="N7" s="22" t="n">
        <f aca="false">'Situacion Financiera'!N8+'Situacion Financiera'!N9</f>
        <v>0</v>
      </c>
      <c r="O7" s="22" t="n">
        <f aca="false">'Situacion Financiera'!O8+'Situacion Financiera'!O9</f>
        <v>0</v>
      </c>
      <c r="P7" s="22" t="n">
        <f aca="false">'Situacion Financiera'!P8+'Situacion Financiera'!P9</f>
        <v>0</v>
      </c>
      <c r="Q7" s="22" t="n">
        <f aca="false">'Situacion Financiera'!Q8+'Situacion Financiera'!Q9</f>
        <v>0</v>
      </c>
    </row>
    <row r="8" customFormat="false" ht="15" hidden="false" customHeight="false" outlineLevel="0" collapsed="false">
      <c r="B8" s="21" t="s">
        <v>73</v>
      </c>
      <c r="C8" s="22" t="n">
        <f aca="false">'Situacion Financiera'!C10</f>
        <v>4566</v>
      </c>
      <c r="D8" s="22" t="n">
        <f aca="false">'Situacion Financiera'!D10</f>
        <v>4795</v>
      </c>
      <c r="E8" s="22" t="n">
        <f aca="false">'Situacion Financiera'!E10</f>
        <v>6668</v>
      </c>
      <c r="F8" s="22" t="n">
        <f aca="false">'Situacion Financiera'!F10</f>
        <v>6912</v>
      </c>
      <c r="G8" s="22" t="n">
        <f aca="false">'Situacion Financiera'!G10</f>
        <v>8878</v>
      </c>
      <c r="H8" s="22" t="n">
        <f aca="false">'Situacion Financiera'!H10</f>
        <v>9069</v>
      </c>
      <c r="I8" s="22" t="n">
        <f aca="false">'Situacion Financiera'!I10</f>
        <v>11173</v>
      </c>
      <c r="J8" s="22" t="n">
        <f aca="false">'Situacion Financiera'!J10</f>
        <v>10608</v>
      </c>
      <c r="K8" s="22" t="n">
        <f aca="false">'Situacion Financiera'!K10</f>
        <v>14390</v>
      </c>
      <c r="L8" s="22" t="n">
        <f aca="false">'Situacion Financiera'!L10</f>
        <v>0</v>
      </c>
      <c r="M8" s="22" t="n">
        <f aca="false">'Situacion Financiera'!M10</f>
        <v>0</v>
      </c>
      <c r="N8" s="22" t="n">
        <f aca="false">'Situacion Financiera'!N10</f>
        <v>0</v>
      </c>
      <c r="O8" s="22" t="n">
        <f aca="false">'Situacion Financiera'!O10</f>
        <v>0</v>
      </c>
      <c r="P8" s="22" t="n">
        <f aca="false">'Situacion Financiera'!P10</f>
        <v>0</v>
      </c>
      <c r="Q8" s="22" t="n">
        <f aca="false">'Situacion Financiera'!Q10</f>
        <v>0</v>
      </c>
    </row>
    <row r="9" customFormat="false" ht="15" hidden="false" customHeight="false" outlineLevel="0" collapsed="false">
      <c r="B9" s="12" t="s">
        <v>162</v>
      </c>
      <c r="C9" s="13" t="n">
        <f aca="false">C6+C7+C8</f>
        <v>139342</v>
      </c>
      <c r="D9" s="13" t="n">
        <f aca="false">D6+D7+D8</f>
        <v>94540</v>
      </c>
      <c r="E9" s="13" t="n">
        <f aca="false">E6+E7+E8</f>
        <v>123169</v>
      </c>
      <c r="F9" s="13" t="n">
        <f aca="false">F6+F7+F8</f>
        <v>122665</v>
      </c>
      <c r="G9" s="13" t="n">
        <f aca="false">G6+G7+G8</f>
        <v>117774</v>
      </c>
      <c r="H9" s="13" t="n">
        <f aca="false">H6+H7+H8</f>
        <v>107028</v>
      </c>
      <c r="I9" s="13" t="n">
        <f aca="false">I6+I7+I8</f>
        <v>110941</v>
      </c>
      <c r="J9" s="13" t="n">
        <f aca="false">J6+J7+J8</f>
        <v>110979</v>
      </c>
      <c r="K9" s="13" t="n">
        <f aca="false">K6+K7+K8</f>
        <v>116610</v>
      </c>
      <c r="L9" s="13" t="n">
        <f aca="false">L6+L7+L8</f>
        <v>0</v>
      </c>
      <c r="M9" s="13" t="n">
        <f aca="false">M6+M7+M8</f>
        <v>0</v>
      </c>
      <c r="N9" s="13" t="n">
        <f aca="false">N6+N7+N8</f>
        <v>0</v>
      </c>
      <c r="O9" s="13" t="n">
        <f aca="false">O6+O7+O8</f>
        <v>0</v>
      </c>
      <c r="P9" s="13" t="n">
        <f aca="false">P6+P7+P8</f>
        <v>0</v>
      </c>
      <c r="Q9" s="13" t="n">
        <f aca="false">Q6+Q7+Q8</f>
        <v>0</v>
      </c>
    </row>
    <row r="11" customFormat="false" ht="15" hidden="false" customHeight="false" outlineLevel="0" collapsed="false">
      <c r="B11" s="21" t="s">
        <v>87</v>
      </c>
      <c r="C11" s="22" t="n">
        <f aca="false">'Situacion Financiera'!C27</f>
        <v>53792</v>
      </c>
      <c r="D11" s="22" t="n">
        <f aca="false">'Situacion Financiera'!D27</f>
        <v>43989</v>
      </c>
      <c r="E11" s="22" t="n">
        <f aca="false">'Situacion Financiera'!E27</f>
        <v>52610</v>
      </c>
      <c r="F11" s="22" t="n">
        <f aca="false">'Situacion Financiera'!F27</f>
        <v>60056</v>
      </c>
      <c r="G11" s="22" t="n">
        <f aca="false">'Situacion Financiera'!G27</f>
        <v>51029</v>
      </c>
      <c r="H11" s="22" t="n">
        <f aca="false">'Situacion Financiera'!H27</f>
        <v>52162</v>
      </c>
      <c r="I11" s="22" t="n">
        <f aca="false">'Situacion Financiera'!I27</f>
        <v>70205</v>
      </c>
      <c r="J11" s="22" t="n">
        <f aca="false">'Situacion Financiera'!J27</f>
        <v>60850</v>
      </c>
      <c r="K11" s="22" t="n">
        <f aca="false">'Situacion Financiera'!K27</f>
        <v>60528</v>
      </c>
      <c r="L11" s="22" t="n">
        <f aca="false">'Situacion Financiera'!L27</f>
        <v>0</v>
      </c>
      <c r="M11" s="22" t="n">
        <f aca="false">'Situacion Financiera'!M27</f>
        <v>0</v>
      </c>
      <c r="N11" s="22" t="n">
        <f aca="false">'Situacion Financiera'!N27</f>
        <v>0</v>
      </c>
      <c r="O11" s="22" t="n">
        <f aca="false">'Situacion Financiera'!O27</f>
        <v>0</v>
      </c>
      <c r="P11" s="22" t="n">
        <f aca="false">'Situacion Financiera'!P27</f>
        <v>0</v>
      </c>
      <c r="Q11" s="22" t="n">
        <f aca="false">'Situacion Financiera'!Q27</f>
        <v>0</v>
      </c>
    </row>
    <row r="12" customFormat="false" ht="15" hidden="false" customHeight="false" outlineLevel="0" collapsed="false">
      <c r="B12" s="21" t="s">
        <v>163</v>
      </c>
      <c r="C12" s="22" t="n">
        <f aca="false">'Situacion Financiera'!C28+'Situacion Financiera'!C31+'Situacion Financiera'!C32</f>
        <v>19474</v>
      </c>
      <c r="D12" s="22" t="n">
        <f aca="false">'Situacion Financiera'!D28+'Situacion Financiera'!D31+'Situacion Financiera'!D32</f>
        <v>69453</v>
      </c>
      <c r="E12" s="22" t="n">
        <f aca="false">'Situacion Financiera'!E28+'Situacion Financiera'!E31+'Situacion Financiera'!E32</f>
        <v>23108</v>
      </c>
      <c r="F12" s="22" t="n">
        <f aca="false">'Situacion Financiera'!F28+'Situacion Financiera'!F31+'Situacion Financiera'!F32</f>
        <v>17936</v>
      </c>
      <c r="G12" s="22" t="n">
        <f aca="false">'Situacion Financiera'!G28+'Situacion Financiera'!G31+'Situacion Financiera'!G32</f>
        <v>44123</v>
      </c>
      <c r="H12" s="22" t="n">
        <f aca="false">'Situacion Financiera'!H28+'Situacion Financiera'!H31+'Situacion Financiera'!H32</f>
        <v>24402</v>
      </c>
      <c r="I12" s="22" t="n">
        <f aca="false">'Situacion Financiera'!I28+'Situacion Financiera'!I31+'Situacion Financiera'!I32</f>
        <v>19695</v>
      </c>
      <c r="J12" s="22" t="n">
        <f aca="false">'Situacion Financiera'!J28+'Situacion Financiera'!J31+'Situacion Financiera'!J32</f>
        <v>39353</v>
      </c>
      <c r="K12" s="22" t="n">
        <f aca="false">'Situacion Financiera'!K28+'Situacion Financiera'!K31+'Situacion Financiera'!K32</f>
        <v>39620</v>
      </c>
      <c r="L12" s="22" t="n">
        <f aca="false">'Situacion Financiera'!L28+'Situacion Financiera'!L31+'Situacion Financiera'!L32</f>
        <v>0</v>
      </c>
      <c r="M12" s="22" t="n">
        <f aca="false">'Situacion Financiera'!M28+'Situacion Financiera'!M31+'Situacion Financiera'!M32</f>
        <v>0</v>
      </c>
      <c r="N12" s="22" t="n">
        <f aca="false">'Situacion Financiera'!N28+'Situacion Financiera'!N31+'Situacion Financiera'!N32</f>
        <v>0</v>
      </c>
      <c r="O12" s="22" t="n">
        <f aca="false">'Situacion Financiera'!O28+'Situacion Financiera'!O31+'Situacion Financiera'!O32</f>
        <v>0</v>
      </c>
      <c r="P12" s="22" t="n">
        <f aca="false">'Situacion Financiera'!P28+'Situacion Financiera'!P31+'Situacion Financiera'!P32</f>
        <v>0</v>
      </c>
      <c r="Q12" s="22" t="n">
        <f aca="false">'Situacion Financiera'!Q28+'Situacion Financiera'!Q31+'Situacion Financiera'!Q32</f>
        <v>0</v>
      </c>
    </row>
    <row r="13" customFormat="false" ht="15" hidden="false" customHeight="false" outlineLevel="0" collapsed="false">
      <c r="B13" s="12" t="s">
        <v>164</v>
      </c>
      <c r="C13" s="13" t="n">
        <f aca="false">C11+C12</f>
        <v>73266</v>
      </c>
      <c r="D13" s="13" t="n">
        <f aca="false">D11+D12</f>
        <v>113442</v>
      </c>
      <c r="E13" s="13" t="n">
        <f aca="false">E11+E12</f>
        <v>75718</v>
      </c>
      <c r="F13" s="13" t="n">
        <f aca="false">F11+F12</f>
        <v>77992</v>
      </c>
      <c r="G13" s="13" t="n">
        <f aca="false">G11+G12</f>
        <v>95152</v>
      </c>
      <c r="H13" s="13" t="n">
        <f aca="false">H11+H12</f>
        <v>76564</v>
      </c>
      <c r="I13" s="13" t="n">
        <f aca="false">I11+I12</f>
        <v>89900</v>
      </c>
      <c r="J13" s="13" t="n">
        <f aca="false">J11+J12</f>
        <v>100203</v>
      </c>
      <c r="K13" s="13" t="n">
        <f aca="false">K11+K12</f>
        <v>100148</v>
      </c>
      <c r="L13" s="13" t="n">
        <f aca="false">L11+L12</f>
        <v>0</v>
      </c>
      <c r="M13" s="13" t="n">
        <f aca="false">M11+M12</f>
        <v>0</v>
      </c>
      <c r="N13" s="13" t="n">
        <f aca="false">N11+N12</f>
        <v>0</v>
      </c>
      <c r="O13" s="13" t="n">
        <f aca="false">O11+O12</f>
        <v>0</v>
      </c>
      <c r="P13" s="13" t="n">
        <f aca="false">P11+P12</f>
        <v>0</v>
      </c>
      <c r="Q13" s="13" t="n">
        <f aca="false">Q11+Q12</f>
        <v>0</v>
      </c>
    </row>
    <row r="15" customFormat="false" ht="15" hidden="false" customHeight="false" outlineLevel="0" collapsed="false">
      <c r="B15" s="12" t="s">
        <v>165</v>
      </c>
      <c r="C15" s="13" t="n">
        <f aca="false">C9-C13</f>
        <v>66076</v>
      </c>
      <c r="D15" s="13" t="n">
        <f aca="false">D9-D13</f>
        <v>-18902</v>
      </c>
      <c r="E15" s="13" t="n">
        <f aca="false">E9-E13</f>
        <v>47451</v>
      </c>
      <c r="F15" s="13" t="n">
        <f aca="false">F9-F13</f>
        <v>44673</v>
      </c>
      <c r="G15" s="13" t="n">
        <f aca="false">G9-G13</f>
        <v>22622</v>
      </c>
      <c r="H15" s="13" t="n">
        <f aca="false">H9-H13</f>
        <v>30464</v>
      </c>
      <c r="I15" s="13" t="n">
        <f aca="false">I9-I13</f>
        <v>21041</v>
      </c>
      <c r="J15" s="13" t="n">
        <f aca="false">J9-J13</f>
        <v>10776</v>
      </c>
      <c r="K15" s="13" t="n">
        <f aca="false">K9-K13</f>
        <v>16462</v>
      </c>
      <c r="L15" s="13" t="n">
        <f aca="false">L9-L13</f>
        <v>0</v>
      </c>
      <c r="M15" s="13" t="n">
        <f aca="false">M9-M13</f>
        <v>0</v>
      </c>
      <c r="N15" s="13" t="n">
        <f aca="false">N9-N13</f>
        <v>0</v>
      </c>
      <c r="O15" s="13" t="n">
        <f aca="false">O9-O13</f>
        <v>0</v>
      </c>
      <c r="P15" s="13" t="n">
        <f aca="false">P9-P13</f>
        <v>0</v>
      </c>
      <c r="Q15" s="13" t="n">
        <f aca="false">Q9-Q13</f>
        <v>0</v>
      </c>
    </row>
    <row r="16" customFormat="false" ht="15" hidden="false" customHeight="false" outlineLevel="0" collapsed="false">
      <c r="B16" s="19" t="s">
        <v>166</v>
      </c>
      <c r="D16" s="18" t="n">
        <f aca="false">IF(ISBLANK(C15),"",D15-C15)</f>
        <v>-84978</v>
      </c>
      <c r="E16" s="18" t="n">
        <f aca="false">IF(ISBLANK(D15),"",E15-D15)</f>
        <v>66353</v>
      </c>
      <c r="F16" s="18" t="n">
        <f aca="false">IF(ISBLANK(E15),"",F15-E15)</f>
        <v>-2778</v>
      </c>
      <c r="G16" s="18" t="n">
        <f aca="false">IF(ISBLANK(F15),"",G15-F15)</f>
        <v>-22051</v>
      </c>
      <c r="H16" s="18" t="n">
        <f aca="false">IF(ISBLANK(G15),"",H15-G15)</f>
        <v>7842</v>
      </c>
      <c r="I16" s="18" t="n">
        <f aca="false">IF(ISBLANK(H15),"",I15-H15)</f>
        <v>-9423</v>
      </c>
      <c r="J16" s="18" t="n">
        <f aca="false">IF(ISBLANK(I15),"",J15-I15)</f>
        <v>-10265</v>
      </c>
      <c r="K16" s="18" t="n">
        <f aca="false">IF(ISBLANK(J15),"",K15-J15)</f>
        <v>5686</v>
      </c>
      <c r="L16" s="18" t="n">
        <f aca="false">IF(ISBLANK(K15),"",L15-K15)</f>
        <v>-16462</v>
      </c>
      <c r="M16" s="18" t="n">
        <f aca="false">IF(ISBLANK(L15),"",M15-L15)</f>
        <v>0</v>
      </c>
      <c r="N16" s="18" t="n">
        <f aca="false">IF(ISBLANK(M15),"",N15-M15)</f>
        <v>0</v>
      </c>
      <c r="O16" s="18" t="n">
        <f aca="false">IF(ISBLANK(N15),"",O15-N15)</f>
        <v>0</v>
      </c>
      <c r="P16" s="18" t="n">
        <f aca="false">IF(ISBLANK(O15),"",P15-O15)</f>
        <v>0</v>
      </c>
      <c r="Q16" s="18" t="n">
        <f aca="false">IF(ISBLANK(P15),"",Q15-P15)</f>
        <v>0</v>
      </c>
    </row>
    <row r="18" customFormat="false" ht="15" hidden="false" customHeight="false" outlineLevel="0" collapsed="false">
      <c r="B18" s="21" t="s">
        <v>167</v>
      </c>
      <c r="C18" s="27" t="n">
        <f aca="false">IFERROR(C6/Resultados!C8*365,"")</f>
        <v>65.4833979078273</v>
      </c>
      <c r="D18" s="27" t="n">
        <f aca="false">IFERROR(D6/Resultados!D8*365,"")</f>
        <v>56.8006372595251</v>
      </c>
      <c r="E18" s="27" t="n">
        <f aca="false">IFERROR(E6/Resultados!E8*365,"")</f>
        <v>55.2954306837761</v>
      </c>
      <c r="F18" s="27" t="n">
        <f aca="false">IFERROR(F6/Resultados!F8*90,"")</f>
        <v>49.9543373071984</v>
      </c>
      <c r="G18" s="27" t="n">
        <f aca="false">IFERROR(G6/Resultados!G8*181,"")</f>
        <v>48.1355372623984</v>
      </c>
      <c r="H18" s="27" t="n">
        <f aca="false">IFERROR(H6/Resultados!H8*273,"")</f>
        <v>48.6694392617851</v>
      </c>
      <c r="I18" s="27" t="n">
        <f aca="false">IFERROR(I6/Resultados!I8*365,"")</f>
        <v>50.9732276611956</v>
      </c>
      <c r="J18" s="27" t="n">
        <f aca="false">IFERROR(J6/Resultados!J8*90,"")</f>
        <v>49.2702875654922</v>
      </c>
      <c r="K18" s="27" t="n">
        <f aca="false">IFERROR(K6/Resultados!K8*181,"")</f>
        <v>51.2593792145507</v>
      </c>
      <c r="L18" s="27" t="str">
        <f aca="false">IFERROR(L6/Resultados!L8*273,"")</f>
        <v/>
      </c>
      <c r="M18" s="27" t="str">
        <f aca="false">IFERROR(M6/Resultados!M8*365,"")</f>
        <v/>
      </c>
      <c r="N18" s="27" t="str">
        <f aca="false">IFERROR(N6/Resultados!N8*90,"")</f>
        <v/>
      </c>
      <c r="O18" s="27" t="str">
        <f aca="false">IFERROR(O6/Resultados!O8*181,"")</f>
        <v/>
      </c>
      <c r="P18" s="27" t="str">
        <f aca="false">IFERROR(P6/Resultados!P8*273,"")</f>
        <v/>
      </c>
      <c r="Q18" s="27" t="str">
        <f aca="false">IFERROR(Q6/Resultados!Q8*365,"")</f>
        <v/>
      </c>
    </row>
    <row r="19" customFormat="false" ht="15" hidden="false" customHeight="false" outlineLevel="0" collapsed="false">
      <c r="B19" s="21" t="s">
        <v>168</v>
      </c>
      <c r="C19" s="27" t="n">
        <f aca="false">IFERROR(C8/-Resultados!C11*365,"")</f>
        <v>5.15893873684797</v>
      </c>
      <c r="D19" s="27" t="n">
        <f aca="false">IFERROR(D8/-Resultados!D11*365,"")</f>
        <v>4.83758399279134</v>
      </c>
      <c r="E19" s="27" t="n">
        <f aca="false">IFERROR(E8/-Resultados!E11*365,"")</f>
        <v>6.29263159527682</v>
      </c>
      <c r="F19" s="27" t="n">
        <f aca="false">IFERROR(F8/-Resultados!F11*90,"")</f>
        <v>5.99439182092371</v>
      </c>
      <c r="G19" s="27" t="n">
        <f aca="false">IFERROR(G8/-Resultados!G11*181,"")</f>
        <v>8.05448457690495</v>
      </c>
      <c r="H19" s="27" t="n">
        <f aca="false">IFERROR(H8/-Resultados!H11*273,"")</f>
        <v>8.47085812431358</v>
      </c>
      <c r="I19" s="27" t="n">
        <f aca="false">IFERROR(I8/-Resultados!I11*365,"")</f>
        <v>10.2249894068062</v>
      </c>
      <c r="J19" s="27" t="n">
        <f aca="false">IFERROR(J8/-Resultados!J11*90,"")</f>
        <v>8.96105724556743</v>
      </c>
      <c r="K19" s="27" t="n">
        <f aca="false">IFERROR(K8/-Resultados!K11*181,"")</f>
        <v>12.340460814646</v>
      </c>
      <c r="L19" s="27" t="str">
        <f aca="false">IFERROR(L8/-Resultados!L11*273,"")</f>
        <v/>
      </c>
      <c r="M19" s="27" t="str">
        <f aca="false">IFERROR(M8/-Resultados!M11*365,"")</f>
        <v/>
      </c>
      <c r="N19" s="27" t="str">
        <f aca="false">IFERROR(N8/-Resultados!N11*90,"")</f>
        <v/>
      </c>
      <c r="O19" s="27" t="str">
        <f aca="false">IFERROR(O8/-Resultados!O11*181,"")</f>
        <v/>
      </c>
      <c r="P19" s="27" t="str">
        <f aca="false">IFERROR(P8/-Resultados!P11*273,"")</f>
        <v/>
      </c>
      <c r="Q19" s="27" t="str">
        <f aca="false">IFERROR(Q8/-Resultados!Q11*365,"")</f>
        <v/>
      </c>
    </row>
    <row r="20" customFormat="false" ht="15" hidden="false" customHeight="false" outlineLevel="0" collapsed="false">
      <c r="B20" s="21" t="s">
        <v>169</v>
      </c>
      <c r="C20" s="27" t="n">
        <f aca="false">IFERROR(C11/-Resultados!C11*365,"")</f>
        <v>60.7774052852663</v>
      </c>
      <c r="D20" s="27" t="n">
        <f aca="false">IFERROR(D11/-Resultados!D11*365,"")</f>
        <v>44.3796626191654</v>
      </c>
      <c r="E20" s="27" t="n">
        <f aca="false">IFERROR(E11/-Resultados!E11*365,"")</f>
        <v>49.6483725596151</v>
      </c>
      <c r="F20" s="27" t="n">
        <f aca="false">IFERROR(F11/-Resultados!F11*90,"")</f>
        <v>52.0832168977712</v>
      </c>
      <c r="G20" s="27" t="n">
        <f aca="false">IFERROR(G11/-Resultados!G11*181,"")</f>
        <v>46.2955951199463</v>
      </c>
      <c r="H20" s="27" t="n">
        <f aca="false">IFERROR(H11/-Resultados!H11*273,"")</f>
        <v>48.7216784078118</v>
      </c>
      <c r="I20" s="27" t="n">
        <f aca="false">IFERROR(I11/-Resultados!I11*365,"")</f>
        <v>64.2482217224408</v>
      </c>
      <c r="J20" s="27" t="n">
        <f aca="false">IFERROR(J11/-Resultados!J11*90,"")</f>
        <v>51.402746360556</v>
      </c>
      <c r="K20" s="27" t="n">
        <f aca="false">IFERROR(K11/-Resultados!K11*181,"")</f>
        <v>51.9071168998536</v>
      </c>
      <c r="L20" s="27" t="str">
        <f aca="false">IFERROR(L11/-Resultados!L11*273,"")</f>
        <v/>
      </c>
      <c r="M20" s="27" t="str">
        <f aca="false">IFERROR(M11/-Resultados!M11*365,"")</f>
        <v/>
      </c>
      <c r="N20" s="27" t="str">
        <f aca="false">IFERROR(N11/-Resultados!N11*90,"")</f>
        <v/>
      </c>
      <c r="O20" s="27" t="str">
        <f aca="false">IFERROR(O11/-Resultados!O11*181,"")</f>
        <v/>
      </c>
      <c r="P20" s="27" t="str">
        <f aca="false">IFERROR(P11/-Resultados!P11*273,"")</f>
        <v/>
      </c>
      <c r="Q20" s="27" t="str">
        <f aca="false">IFERROR(Q11/-Resultados!Q11*365,"")</f>
        <v/>
      </c>
    </row>
    <row r="21" customFormat="false" ht="15" hidden="false" customHeight="false" outlineLevel="0" collapsed="false">
      <c r="B21" s="12" t="s">
        <v>170</v>
      </c>
      <c r="C21" s="28" t="n">
        <f aca="false">IFERROR(C18+C19-C20,"")</f>
        <v>9.86493135940899</v>
      </c>
      <c r="D21" s="28" t="n">
        <f aca="false">IFERROR(D18+D19-D20,"")</f>
        <v>17.2585586331511</v>
      </c>
      <c r="E21" s="28" t="n">
        <f aca="false">IFERROR(E18+E19-E20,"")</f>
        <v>11.9396897194379</v>
      </c>
      <c r="F21" s="28" t="n">
        <f aca="false">IFERROR(F18+F19-F20,"")</f>
        <v>3.86551223035089</v>
      </c>
      <c r="G21" s="28" t="n">
        <f aca="false">IFERROR(G18+G19-G20,"")</f>
        <v>9.89442671935706</v>
      </c>
      <c r="H21" s="28" t="n">
        <f aca="false">IFERROR(H18+H19-H20,"")</f>
        <v>8.41861897828687</v>
      </c>
      <c r="I21" s="28" t="n">
        <f aca="false">IFERROR(I18+I19-I20,"")</f>
        <v>-3.05000465443896</v>
      </c>
      <c r="J21" s="28" t="n">
        <f aca="false">IFERROR(J18+J19-J20,"")</f>
        <v>6.82859845050355</v>
      </c>
      <c r="K21" s="28" t="n">
        <f aca="false">IFERROR(K18+K19-K20,"")</f>
        <v>11.6927231293431</v>
      </c>
      <c r="L21" s="28" t="str">
        <f aca="false">IFERROR(L18+L19-L20,"")</f>
        <v/>
      </c>
      <c r="M21" s="28" t="str">
        <f aca="false">IFERROR(M18+M19-M20,"")</f>
        <v/>
      </c>
      <c r="N21" s="28" t="str">
        <f aca="false">IFERROR(N18+N19-N20,"")</f>
        <v/>
      </c>
      <c r="O21" s="28" t="str">
        <f aca="false">IFERROR(O18+O19-O20,"")</f>
        <v/>
      </c>
      <c r="P21" s="28" t="str">
        <f aca="false">IFERROR(P18+P19-P20,"")</f>
        <v/>
      </c>
      <c r="Q21" s="28" t="str">
        <f aca="false">IFERROR(Q18+Q19-Q20,"")</f>
        <v/>
      </c>
    </row>
  </sheetData>
  <mergeCells count="2">
    <mergeCell ref="B1:Q1"/>
    <mergeCell ref="B2:Q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2"/>
    <col collapsed="false" customWidth="true" hidden="false" outlineLevel="0" max="3" min="3" style="0" width="18"/>
    <col collapsed="false" customWidth="true" hidden="false" outlineLevel="0" max="4" min="4" style="0" width="9"/>
    <col collapsed="false" customWidth="true" hidden="false" outlineLevel="0" max="6" min="5" style="0" width="11"/>
    <col collapsed="false" customWidth="true" hidden="false" outlineLevel="0" max="7" min="7" style="0" width="15"/>
    <col collapsed="false" customWidth="true" hidden="false" outlineLevel="0" max="17" min="8" style="0" width="13"/>
  </cols>
  <sheetData>
    <row r="1" customFormat="false" ht="21.75" hidden="false" customHeight="true" outlineLevel="0" collapsed="false">
      <c r="B1" s="1" t="s">
        <v>171</v>
      </c>
      <c r="C1" s="1"/>
      <c r="D1" s="1"/>
      <c r="E1" s="1"/>
      <c r="F1" s="1"/>
      <c r="G1" s="1"/>
      <c r="H1" s="1"/>
      <c r="I1" s="1"/>
      <c r="J1" s="1"/>
    </row>
    <row r="2" customFormat="false" ht="15" hidden="false" customHeight="false" outlineLevel="0" collapsed="false">
      <c r="B2" s="2" t="s">
        <v>172</v>
      </c>
      <c r="C2" s="2"/>
      <c r="D2" s="2"/>
      <c r="E2" s="2"/>
      <c r="F2" s="2"/>
      <c r="G2" s="2"/>
      <c r="H2" s="2"/>
      <c r="I2" s="2"/>
      <c r="J2" s="2"/>
    </row>
    <row r="4" customFormat="false" ht="15.75" hidden="false" customHeight="true" outlineLevel="0" collapsed="false">
      <c r="B4" s="29" t="s">
        <v>173</v>
      </c>
      <c r="C4" s="30" t="s">
        <v>174</v>
      </c>
      <c r="D4" s="30" t="s">
        <v>175</v>
      </c>
      <c r="E4" s="30" t="s">
        <v>176</v>
      </c>
      <c r="F4" s="30" t="s">
        <v>177</v>
      </c>
      <c r="G4" s="30" t="s">
        <v>178</v>
      </c>
      <c r="H4" s="30" t="s">
        <v>5</v>
      </c>
      <c r="I4" s="30" t="s">
        <v>9</v>
      </c>
      <c r="J4" s="30" t="s">
        <v>155</v>
      </c>
    </row>
    <row r="6" customFormat="false" ht="15" hidden="false" customHeight="false" outlineLevel="0" collapsed="false">
      <c r="B6" s="5" t="s">
        <v>179</v>
      </c>
      <c r="C6" s="5"/>
      <c r="D6" s="5"/>
      <c r="E6" s="5"/>
      <c r="F6" s="5"/>
      <c r="G6" s="5"/>
      <c r="H6" s="5"/>
      <c r="I6" s="5"/>
      <c r="J6" s="5"/>
    </row>
    <row r="7" customFormat="false" ht="15" hidden="false" customHeight="false" outlineLevel="0" collapsed="false">
      <c r="B7" s="19" t="s">
        <v>180</v>
      </c>
      <c r="C7" s="19" t="s">
        <v>181</v>
      </c>
      <c r="D7" s="19" t="s">
        <v>182</v>
      </c>
      <c r="E7" s="31" t="n">
        <v>0.0513</v>
      </c>
      <c r="F7" s="31" t="n">
        <v>0.0513</v>
      </c>
      <c r="G7" s="19" t="s">
        <v>183</v>
      </c>
      <c r="H7" s="10" t="n">
        <v>80000</v>
      </c>
      <c r="I7" s="10" t="n">
        <v>0</v>
      </c>
      <c r="J7" s="10" t="n">
        <v>0</v>
      </c>
    </row>
    <row r="8" customFormat="false" ht="15" hidden="false" customHeight="false" outlineLevel="0" collapsed="false">
      <c r="B8" s="19" t="s">
        <v>184</v>
      </c>
      <c r="C8" s="19" t="s">
        <v>185</v>
      </c>
      <c r="D8" s="19" t="s">
        <v>182</v>
      </c>
      <c r="E8" s="31" t="n">
        <v>0.0275</v>
      </c>
      <c r="F8" s="31" t="n">
        <v>0.0289</v>
      </c>
      <c r="G8" s="19" t="s">
        <v>186</v>
      </c>
      <c r="H8" s="10" t="n">
        <v>65500</v>
      </c>
      <c r="I8" s="10" t="n">
        <v>0</v>
      </c>
      <c r="J8" s="10" t="n">
        <v>0</v>
      </c>
    </row>
    <row r="9" customFormat="false" ht="15" hidden="false" customHeight="false" outlineLevel="0" collapsed="false">
      <c r="B9" s="19" t="s">
        <v>187</v>
      </c>
      <c r="C9" s="19" t="s">
        <v>181</v>
      </c>
      <c r="D9" s="19" t="s">
        <v>182</v>
      </c>
      <c r="E9" s="31" t="n">
        <v>0.047</v>
      </c>
      <c r="F9" s="31" t="n">
        <v>0.047</v>
      </c>
      <c r="G9" s="19" t="s">
        <v>188</v>
      </c>
      <c r="H9" s="10" t="n">
        <v>0</v>
      </c>
      <c r="I9" s="10" t="n">
        <v>80000</v>
      </c>
      <c r="J9" s="10" t="n">
        <v>0</v>
      </c>
    </row>
    <row r="10" customFormat="false" ht="15" hidden="false" customHeight="false" outlineLevel="0" collapsed="false">
      <c r="B10" s="19" t="s">
        <v>187</v>
      </c>
      <c r="C10" s="19" t="s">
        <v>181</v>
      </c>
      <c r="D10" s="19" t="s">
        <v>182</v>
      </c>
      <c r="E10" s="31" t="n">
        <v>0.0471</v>
      </c>
      <c r="F10" s="31" t="n">
        <v>0.0471</v>
      </c>
      <c r="G10" s="19" t="s">
        <v>189</v>
      </c>
      <c r="H10" s="10" t="n">
        <v>0</v>
      </c>
      <c r="I10" s="10" t="n">
        <v>25000</v>
      </c>
      <c r="J10" s="10" t="n">
        <v>0</v>
      </c>
    </row>
    <row r="11" customFormat="false" ht="15" hidden="false" customHeight="false" outlineLevel="0" collapsed="false">
      <c r="B11" s="19" t="s">
        <v>190</v>
      </c>
      <c r="C11" s="19" t="s">
        <v>181</v>
      </c>
      <c r="D11" s="19" t="s">
        <v>182</v>
      </c>
      <c r="E11" s="31" t="n">
        <v>0.0471</v>
      </c>
      <c r="F11" s="31" t="n">
        <v>0.0471</v>
      </c>
      <c r="G11" s="19" t="s">
        <v>188</v>
      </c>
      <c r="H11" s="10" t="n">
        <v>0</v>
      </c>
      <c r="I11" s="10" t="n">
        <v>20000</v>
      </c>
      <c r="J11" s="10" t="n">
        <v>0</v>
      </c>
    </row>
    <row r="12" customFormat="false" ht="15" hidden="false" customHeight="false" outlineLevel="0" collapsed="false">
      <c r="B12" s="19" t="s">
        <v>191</v>
      </c>
      <c r="C12" s="19" t="s">
        <v>181</v>
      </c>
      <c r="D12" s="19" t="s">
        <v>182</v>
      </c>
      <c r="E12" s="31" t="n">
        <v>0.047</v>
      </c>
      <c r="F12" s="31" t="n">
        <v>0.047</v>
      </c>
      <c r="G12" s="19" t="s">
        <v>192</v>
      </c>
      <c r="H12" s="10" t="n">
        <v>0</v>
      </c>
      <c r="I12" s="10" t="n">
        <v>10000</v>
      </c>
      <c r="J12" s="10" t="n">
        <v>0</v>
      </c>
    </row>
    <row r="13" customFormat="false" ht="15" hidden="false" customHeight="false" outlineLevel="0" collapsed="false">
      <c r="B13" s="19" t="s">
        <v>187</v>
      </c>
      <c r="C13" s="19" t="s">
        <v>181</v>
      </c>
      <c r="D13" s="19" t="s">
        <v>182</v>
      </c>
      <c r="E13" s="31" t="n">
        <v>0.0443</v>
      </c>
      <c r="F13" s="31" t="n">
        <v>0.0443</v>
      </c>
      <c r="G13" s="19" t="s">
        <v>193</v>
      </c>
      <c r="H13" s="10" t="n">
        <v>0</v>
      </c>
      <c r="I13" s="10" t="n">
        <v>0</v>
      </c>
      <c r="J13" s="10" t="n">
        <v>10000</v>
      </c>
    </row>
    <row r="14" customFormat="false" ht="15" hidden="false" customHeight="false" outlineLevel="0" collapsed="false">
      <c r="B14" s="19" t="s">
        <v>187</v>
      </c>
      <c r="C14" s="19" t="s">
        <v>181</v>
      </c>
      <c r="D14" s="19" t="s">
        <v>182</v>
      </c>
      <c r="E14" s="31" t="n">
        <v>0.0443</v>
      </c>
      <c r="F14" s="31" t="n">
        <v>0.0443</v>
      </c>
      <c r="G14" s="19" t="s">
        <v>194</v>
      </c>
      <c r="H14" s="10" t="n">
        <v>0</v>
      </c>
      <c r="I14" s="10" t="n">
        <v>0</v>
      </c>
      <c r="J14" s="10" t="n">
        <v>40000</v>
      </c>
    </row>
    <row r="15" customFormat="false" ht="15" hidden="false" customHeight="false" outlineLevel="0" collapsed="false">
      <c r="B15" s="19" t="s">
        <v>195</v>
      </c>
      <c r="C15" s="19" t="s">
        <v>181</v>
      </c>
      <c r="D15" s="19" t="s">
        <v>182</v>
      </c>
      <c r="E15" s="31" t="n">
        <v>0.0452</v>
      </c>
      <c r="F15" s="31" t="n">
        <v>0.0452</v>
      </c>
      <c r="G15" s="19" t="s">
        <v>196</v>
      </c>
      <c r="H15" s="10" t="n">
        <v>0</v>
      </c>
      <c r="I15" s="10" t="n">
        <v>0</v>
      </c>
      <c r="J15" s="10" t="n">
        <v>20000</v>
      </c>
    </row>
    <row r="16" customFormat="false" ht="15" hidden="false" customHeight="false" outlineLevel="0" collapsed="false">
      <c r="B16" s="19" t="s">
        <v>197</v>
      </c>
      <c r="H16" s="10" t="n">
        <v>0</v>
      </c>
      <c r="I16" s="10" t="n">
        <v>0</v>
      </c>
      <c r="J16" s="10" t="n">
        <v>200000</v>
      </c>
    </row>
    <row r="17" customFormat="false" ht="15" hidden="false" customHeight="false" outlineLevel="0" collapsed="false">
      <c r="B17" s="11" t="s">
        <v>198</v>
      </c>
      <c r="H17" s="32" t="n">
        <f aca="false">SUM(H7:H16)</f>
        <v>145500</v>
      </c>
      <c r="I17" s="32" t="n">
        <f aca="false">SUM(I7:I16)</f>
        <v>135000</v>
      </c>
      <c r="J17" s="32" t="n">
        <f aca="false">SUM(J7:J16)</f>
        <v>270000</v>
      </c>
    </row>
    <row r="18" customFormat="false" ht="15" hidden="false" customHeight="false" outlineLevel="0" collapsed="false">
      <c r="B18" s="9" t="s">
        <v>199</v>
      </c>
      <c r="H18" s="10" t="n">
        <v>1205</v>
      </c>
      <c r="I18" s="10" t="n">
        <v>2453</v>
      </c>
      <c r="J18" s="10" t="n">
        <v>4547</v>
      </c>
    </row>
    <row r="19" customFormat="false" ht="15" hidden="false" customHeight="false" outlineLevel="0" collapsed="false">
      <c r="B19" s="9" t="s">
        <v>200</v>
      </c>
      <c r="H19" s="10" t="n">
        <v>-189</v>
      </c>
      <c r="I19" s="10" t="n">
        <v>-123</v>
      </c>
      <c r="J19" s="10" t="n">
        <v>-126</v>
      </c>
    </row>
    <row r="20" customFormat="false" ht="15" hidden="false" customHeight="false" outlineLevel="0" collapsed="false">
      <c r="B20" s="33" t="s">
        <v>201</v>
      </c>
      <c r="C20" s="34"/>
      <c r="D20" s="34"/>
      <c r="E20" s="34"/>
      <c r="F20" s="34"/>
      <c r="G20" s="34"/>
      <c r="H20" s="13" t="n">
        <f aca="false">H17+H18+H19</f>
        <v>146516</v>
      </c>
      <c r="I20" s="13" t="n">
        <f aca="false">I17+I18+I19</f>
        <v>137330</v>
      </c>
      <c r="J20" s="13" t="n">
        <f aca="false">J17+J18+J19</f>
        <v>274421</v>
      </c>
    </row>
    <row r="22" customFormat="false" ht="15" hidden="false" customHeight="false" outlineLevel="0" collapsed="false">
      <c r="B22" s="5" t="s">
        <v>202</v>
      </c>
      <c r="C22" s="5"/>
      <c r="D22" s="5"/>
      <c r="E22" s="5"/>
      <c r="F22" s="5"/>
      <c r="G22" s="5"/>
      <c r="H22" s="5"/>
      <c r="I22" s="5"/>
      <c r="J22" s="5"/>
    </row>
    <row r="23" customFormat="false" ht="15" hidden="false" customHeight="false" outlineLevel="0" collapsed="false">
      <c r="B23" s="19" t="s">
        <v>190</v>
      </c>
      <c r="C23" s="19" t="s">
        <v>203</v>
      </c>
      <c r="D23" s="19" t="s">
        <v>182</v>
      </c>
      <c r="E23" s="31" t="n">
        <v>0.0486</v>
      </c>
      <c r="F23" s="31" t="n">
        <v>0.0486</v>
      </c>
      <c r="G23" s="19" t="s">
        <v>204</v>
      </c>
      <c r="H23" s="10" t="n">
        <v>0</v>
      </c>
      <c r="I23" s="10" t="n">
        <v>100000</v>
      </c>
      <c r="J23" s="10" t="n">
        <v>0</v>
      </c>
    </row>
    <row r="24" customFormat="false" ht="15" hidden="false" customHeight="false" outlineLevel="0" collapsed="false">
      <c r="B24" s="19" t="s">
        <v>205</v>
      </c>
      <c r="C24" s="19" t="s">
        <v>185</v>
      </c>
      <c r="D24" s="19" t="s">
        <v>182</v>
      </c>
      <c r="E24" s="31" t="n">
        <v>0.0459</v>
      </c>
      <c r="F24" s="31" t="n">
        <v>0.0472</v>
      </c>
      <c r="G24" s="19" t="s">
        <v>206</v>
      </c>
      <c r="H24" s="10" t="n">
        <v>230500</v>
      </c>
      <c r="I24" s="10" t="n">
        <v>230500</v>
      </c>
      <c r="J24" s="10" t="n">
        <v>230500</v>
      </c>
    </row>
    <row r="25" customFormat="false" ht="15" hidden="false" customHeight="false" outlineLevel="0" collapsed="false">
      <c r="B25" s="11" t="s">
        <v>198</v>
      </c>
      <c r="H25" s="32" t="n">
        <f aca="false">SUM(H23:H24)</f>
        <v>230500</v>
      </c>
      <c r="I25" s="32" t="n">
        <f aca="false">SUM(I23:I24)</f>
        <v>330500</v>
      </c>
      <c r="J25" s="32" t="n">
        <f aca="false">SUM(J23:J24)</f>
        <v>230500</v>
      </c>
    </row>
    <row r="26" customFormat="false" ht="15" hidden="false" customHeight="false" outlineLevel="0" collapsed="false">
      <c r="B26" s="9" t="s">
        <v>199</v>
      </c>
      <c r="H26" s="10" t="n">
        <v>0</v>
      </c>
      <c r="I26" s="10" t="n">
        <v>396</v>
      </c>
      <c r="J26" s="10" t="n">
        <v>0</v>
      </c>
    </row>
    <row r="27" customFormat="false" ht="15" hidden="false" customHeight="false" outlineLevel="0" collapsed="false">
      <c r="B27" s="9" t="s">
        <v>200</v>
      </c>
      <c r="H27" s="10" t="n">
        <v>-702</v>
      </c>
      <c r="I27" s="10" t="n">
        <v>-579</v>
      </c>
      <c r="J27" s="10" t="n">
        <v>-527</v>
      </c>
    </row>
    <row r="28" customFormat="false" ht="15" hidden="false" customHeight="false" outlineLevel="0" collapsed="false">
      <c r="B28" s="33" t="s">
        <v>207</v>
      </c>
      <c r="C28" s="34"/>
      <c r="D28" s="34"/>
      <c r="E28" s="34"/>
      <c r="F28" s="34"/>
      <c r="G28" s="34"/>
      <c r="H28" s="13" t="n">
        <f aca="false">H25+H26+H27</f>
        <v>229798</v>
      </c>
      <c r="I28" s="13" t="n">
        <f aca="false">I25+I26+I27</f>
        <v>330317</v>
      </c>
      <c r="J28" s="13" t="n">
        <f aca="false">J25+J26+J27</f>
        <v>229973</v>
      </c>
    </row>
    <row r="30" customFormat="false" ht="15" hidden="false" customHeight="false" outlineLevel="0" collapsed="false">
      <c r="B30" s="33" t="s">
        <v>208</v>
      </c>
      <c r="C30" s="34"/>
      <c r="D30" s="34"/>
      <c r="E30" s="34"/>
      <c r="F30" s="34"/>
      <c r="G30" s="34"/>
      <c r="H30" s="13" t="n">
        <f aca="false">H20+H28</f>
        <v>376314</v>
      </c>
      <c r="I30" s="13" t="n">
        <f aca="false">I20+I28</f>
        <v>467647</v>
      </c>
      <c r="J30" s="13" t="n">
        <f aca="false">J20+J28</f>
        <v>504394</v>
      </c>
    </row>
    <row r="31" customFormat="false" ht="15" hidden="false" customHeight="false" outlineLevel="0" collapsed="false">
      <c r="B31" s="11" t="s">
        <v>209</v>
      </c>
      <c r="H31" s="22" t="n">
        <f aca="false">H30-('Situacion Financiera'!E25+'Situacion Financiera'!E36)</f>
        <v>0</v>
      </c>
      <c r="I31" s="22" t="n">
        <f aca="false">I30-('Situacion Financiera'!I25+'Situacion Financiera'!I36)</f>
        <v>0</v>
      </c>
      <c r="J31" s="22" t="n">
        <f aca="false">J30-('Situacion Financiera'!K25+'Situacion Financiera'!K36)</f>
        <v>0</v>
      </c>
    </row>
    <row r="33" customFormat="false" ht="15" hidden="false" customHeight="false" outlineLevel="0" collapsed="false">
      <c r="B33" s="5" t="s">
        <v>210</v>
      </c>
      <c r="C33" s="5"/>
      <c r="D33" s="5"/>
      <c r="E33" s="5"/>
      <c r="F33" s="5"/>
      <c r="G33" s="5"/>
      <c r="H33" s="5"/>
      <c r="I33" s="5"/>
      <c r="J33" s="5"/>
    </row>
    <row r="34" customFormat="false" ht="15" hidden="false" customHeight="false" outlineLevel="0" collapsed="false">
      <c r="B34" s="9" t="s">
        <v>9</v>
      </c>
      <c r="H34" s="10" t="n">
        <v>146633</v>
      </c>
      <c r="I34" s="10" t="n">
        <v>0</v>
      </c>
      <c r="J34" s="10" t="n">
        <v>0</v>
      </c>
    </row>
    <row r="35" customFormat="false" ht="15" hidden="false" customHeight="false" outlineLevel="0" collapsed="false">
      <c r="B35" s="9" t="s">
        <v>211</v>
      </c>
      <c r="H35" s="10" t="n">
        <v>0</v>
      </c>
      <c r="I35" s="10" t="n">
        <v>137330</v>
      </c>
      <c r="J35" s="10" t="n">
        <v>40580</v>
      </c>
    </row>
    <row r="36" customFormat="false" ht="15" hidden="false" customHeight="false" outlineLevel="0" collapsed="false">
      <c r="B36" s="9" t="s">
        <v>212</v>
      </c>
      <c r="H36" s="10" t="n">
        <v>0</v>
      </c>
      <c r="I36" s="10" t="n">
        <v>100396</v>
      </c>
      <c r="J36" s="10" t="n">
        <v>233841</v>
      </c>
    </row>
    <row r="37" customFormat="false" ht="15" hidden="false" customHeight="false" outlineLevel="0" collapsed="false">
      <c r="B37" s="9" t="s">
        <v>213</v>
      </c>
      <c r="H37" s="10" t="n">
        <v>229681</v>
      </c>
      <c r="I37" s="10" t="n">
        <v>229921</v>
      </c>
      <c r="J37" s="10" t="n">
        <v>229973</v>
      </c>
    </row>
    <row r="38" customFormat="false" ht="15" hidden="false" customHeight="false" outlineLevel="0" collapsed="false">
      <c r="B38" s="33" t="s">
        <v>214</v>
      </c>
      <c r="C38" s="34"/>
      <c r="D38" s="34"/>
      <c r="E38" s="34"/>
      <c r="F38" s="34"/>
      <c r="G38" s="34"/>
      <c r="H38" s="13" t="n">
        <f aca="false">SUM(H34:H37)</f>
        <v>376314</v>
      </c>
      <c r="I38" s="13" t="n">
        <f aca="false">SUM(I34:I37)</f>
        <v>467647</v>
      </c>
      <c r="J38" s="13" t="n">
        <f aca="false">SUM(J34:J37)</f>
        <v>504394</v>
      </c>
    </row>
    <row r="39" customFormat="false" ht="15" hidden="false" customHeight="false" outlineLevel="0" collapsed="false">
      <c r="B39" s="11" t="s">
        <v>215</v>
      </c>
      <c r="H39" s="18" t="n">
        <f aca="false">H38-H30</f>
        <v>0</v>
      </c>
      <c r="I39" s="18" t="n">
        <f aca="false">I38-I30</f>
        <v>0</v>
      </c>
      <c r="J39" s="18" t="n">
        <f aca="false">J38-J30</f>
        <v>0</v>
      </c>
    </row>
  </sheetData>
  <mergeCells count="5">
    <mergeCell ref="B1:J1"/>
    <mergeCell ref="B2:J2"/>
    <mergeCell ref="B6:J6"/>
    <mergeCell ref="B22:J22"/>
    <mergeCell ref="B33:J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Q1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2"/>
    <col collapsed="false" customWidth="true" hidden="false" outlineLevel="0" max="17" min="3" style="0" width="13"/>
  </cols>
  <sheetData>
    <row r="1" customFormat="false" ht="21.75" hidden="false" customHeight="true" outlineLevel="0" collapsed="false">
      <c r="B1" s="1" t="s">
        <v>216</v>
      </c>
      <c r="C1" s="1"/>
      <c r="D1" s="1"/>
      <c r="E1" s="1"/>
      <c r="F1" s="1"/>
      <c r="G1" s="1"/>
      <c r="H1" s="1"/>
      <c r="I1" s="1"/>
      <c r="J1" s="1"/>
      <c r="K1" s="1"/>
    </row>
    <row r="2" customFormat="false" ht="15" hidden="false" customHeight="false" outlineLevel="0" collapsed="false">
      <c r="B2" s="2" t="s">
        <v>217</v>
      </c>
      <c r="C2" s="2"/>
      <c r="D2" s="2"/>
      <c r="E2" s="2"/>
      <c r="F2" s="2"/>
      <c r="G2" s="2"/>
      <c r="H2" s="2"/>
      <c r="I2" s="2"/>
      <c r="J2" s="2"/>
      <c r="K2" s="2"/>
    </row>
    <row r="4" customFormat="false" ht="15" hidden="false" customHeight="false" outlineLevel="0" collapsed="false">
      <c r="B4" s="5" t="s">
        <v>218</v>
      </c>
      <c r="C4" s="5"/>
      <c r="D4" s="5"/>
      <c r="E4" s="5"/>
      <c r="F4" s="5"/>
      <c r="G4" s="5"/>
      <c r="H4" s="5"/>
      <c r="I4" s="5"/>
      <c r="J4" s="5"/>
      <c r="K4" s="5"/>
      <c r="L4" s="5"/>
      <c r="M4" s="5"/>
      <c r="N4" s="5"/>
      <c r="O4" s="5"/>
      <c r="P4" s="5"/>
      <c r="Q4" s="5"/>
    </row>
    <row r="5" customFormat="false" ht="15" hidden="false" customHeight="false" outlineLevel="0" collapsed="false">
      <c r="B5" s="35" t="s">
        <v>219</v>
      </c>
      <c r="C5" s="35"/>
      <c r="D5" s="35"/>
      <c r="E5" s="35"/>
      <c r="F5" s="35"/>
      <c r="G5" s="35"/>
      <c r="H5" s="35"/>
      <c r="I5" s="35"/>
      <c r="J5" s="35"/>
      <c r="K5" s="35"/>
    </row>
    <row r="6" customFormat="false" ht="27.75" hidden="false" customHeight="true" outlineLevel="0" collapsed="false">
      <c r="C6" s="36" t="s">
        <v>220</v>
      </c>
      <c r="D6" s="36" t="s">
        <v>221</v>
      </c>
      <c r="E6" s="36" t="s">
        <v>222</v>
      </c>
      <c r="F6" s="36" t="s">
        <v>223</v>
      </c>
      <c r="G6" s="36" t="s">
        <v>224</v>
      </c>
      <c r="H6" s="36" t="s">
        <v>225</v>
      </c>
      <c r="I6" s="36" t="s">
        <v>226</v>
      </c>
      <c r="J6" s="36" t="s">
        <v>227</v>
      </c>
      <c r="K6" s="30" t="s">
        <v>228</v>
      </c>
    </row>
    <row r="7" customFormat="false" ht="15" hidden="false" customHeight="false" outlineLevel="0" collapsed="false">
      <c r="B7" s="6" t="s">
        <v>229</v>
      </c>
      <c r="C7" s="7" t="n">
        <v>15066</v>
      </c>
      <c r="D7" s="7" t="n">
        <v>48024</v>
      </c>
      <c r="E7" s="7" t="n">
        <v>636018</v>
      </c>
      <c r="F7" s="7" t="n">
        <v>12379</v>
      </c>
      <c r="G7" s="7" t="n">
        <v>2529</v>
      </c>
      <c r="H7" s="7" t="n">
        <v>20619</v>
      </c>
      <c r="I7" s="7" t="n">
        <v>6800</v>
      </c>
      <c r="J7" s="7" t="n">
        <v>70325</v>
      </c>
      <c r="K7" s="32" t="n">
        <f aca="false">SUM(C7:J7)</f>
        <v>811760</v>
      </c>
    </row>
    <row r="8" customFormat="false" ht="15" hidden="false" customHeight="false" outlineLevel="0" collapsed="false">
      <c r="B8" s="9" t="s">
        <v>230</v>
      </c>
      <c r="C8" s="10" t="n">
        <v>0</v>
      </c>
      <c r="D8" s="10" t="n">
        <v>0</v>
      </c>
      <c r="E8" s="10" t="n">
        <v>7727</v>
      </c>
      <c r="F8" s="10" t="n">
        <v>0</v>
      </c>
      <c r="G8" s="10" t="n">
        <v>0</v>
      </c>
      <c r="H8" s="10" t="n">
        <v>0</v>
      </c>
      <c r="I8" s="10" t="n">
        <v>850</v>
      </c>
      <c r="J8" s="10" t="n">
        <v>86226</v>
      </c>
      <c r="K8" s="18" t="n">
        <f aca="false">SUM(C8:J8)</f>
        <v>94803</v>
      </c>
    </row>
    <row r="9" customFormat="false" ht="15" hidden="false" customHeight="false" outlineLevel="0" collapsed="false">
      <c r="B9" s="9" t="s">
        <v>231</v>
      </c>
      <c r="C9" s="10" t="n">
        <v>0</v>
      </c>
      <c r="D9" s="10" t="n">
        <v>4072</v>
      </c>
      <c r="E9" s="10" t="n">
        <v>97108</v>
      </c>
      <c r="F9" s="10" t="n">
        <v>0</v>
      </c>
      <c r="G9" s="10" t="n">
        <v>80</v>
      </c>
      <c r="H9" s="10" t="n">
        <v>1049</v>
      </c>
      <c r="I9" s="10" t="n">
        <v>-790</v>
      </c>
      <c r="J9" s="10" t="n">
        <v>-101519</v>
      </c>
      <c r="K9" s="18" t="n">
        <f aca="false">SUM(C9:J9)</f>
        <v>0</v>
      </c>
    </row>
    <row r="10" customFormat="false" ht="15" hidden="false" customHeight="false" outlineLevel="0" collapsed="false">
      <c r="B10" s="9" t="s">
        <v>232</v>
      </c>
      <c r="C10" s="10" t="n">
        <v>0</v>
      </c>
      <c r="D10" s="10" t="n">
        <v>-5</v>
      </c>
      <c r="E10" s="10" t="n">
        <v>-6054</v>
      </c>
      <c r="F10" s="10" t="n">
        <v>-553</v>
      </c>
      <c r="G10" s="10" t="n">
        <v>0</v>
      </c>
      <c r="H10" s="10" t="n">
        <v>0</v>
      </c>
      <c r="I10" s="10" t="n">
        <v>-2</v>
      </c>
      <c r="J10" s="10" t="n">
        <v>0</v>
      </c>
      <c r="K10" s="18" t="n">
        <f aca="false">SUM(C10:J10)</f>
        <v>-6614</v>
      </c>
    </row>
    <row r="11" customFormat="false" ht="15" hidden="false" customHeight="false" outlineLevel="0" collapsed="false">
      <c r="B11" s="33" t="s">
        <v>233</v>
      </c>
      <c r="C11" s="13" t="n">
        <f aca="false">SUM(C7:C10)</f>
        <v>15066</v>
      </c>
      <c r="D11" s="13" t="n">
        <f aca="false">SUM(D7:D10)</f>
        <v>52091</v>
      </c>
      <c r="E11" s="13" t="n">
        <f aca="false">SUM(E7:E10)</f>
        <v>734799</v>
      </c>
      <c r="F11" s="13" t="n">
        <f aca="false">SUM(F7:F10)</f>
        <v>11826</v>
      </c>
      <c r="G11" s="13" t="n">
        <f aca="false">SUM(G7:G10)</f>
        <v>2609</v>
      </c>
      <c r="H11" s="13" t="n">
        <f aca="false">SUM(H7:H10)</f>
        <v>21668</v>
      </c>
      <c r="I11" s="13" t="n">
        <f aca="false">SUM(I7:I10)</f>
        <v>6858</v>
      </c>
      <c r="J11" s="13" t="n">
        <f aca="false">SUM(J7:J10)</f>
        <v>55032</v>
      </c>
      <c r="K11" s="13" t="n">
        <f aca="false">SUM(K7:K10)</f>
        <v>899949</v>
      </c>
    </row>
    <row r="13" customFormat="false" ht="15" hidden="false" customHeight="false" outlineLevel="0" collapsed="false">
      <c r="B13" s="6" t="s">
        <v>229</v>
      </c>
      <c r="C13" s="7" t="n">
        <v>0</v>
      </c>
      <c r="D13" s="7" t="n">
        <v>-14636</v>
      </c>
      <c r="E13" s="7" t="n">
        <v>-202724</v>
      </c>
      <c r="F13" s="7" t="n">
        <v>-7498</v>
      </c>
      <c r="G13" s="7" t="n">
        <v>-1416</v>
      </c>
      <c r="H13" s="7" t="n">
        <v>-11921</v>
      </c>
      <c r="I13" s="7" t="n">
        <v>0</v>
      </c>
      <c r="J13" s="7" t="n">
        <v>0</v>
      </c>
      <c r="K13" s="32" t="n">
        <f aca="false">SUM(C13:J13)</f>
        <v>-238195</v>
      </c>
    </row>
    <row r="14" customFormat="false" ht="15" hidden="false" customHeight="false" outlineLevel="0" collapsed="false">
      <c r="B14" s="9" t="s">
        <v>234</v>
      </c>
      <c r="C14" s="10" t="n">
        <v>0</v>
      </c>
      <c r="D14" s="10" t="n">
        <v>-1039</v>
      </c>
      <c r="E14" s="10" t="n">
        <v>-24691</v>
      </c>
      <c r="F14" s="10" t="n">
        <v>-852</v>
      </c>
      <c r="G14" s="10" t="n">
        <v>-142</v>
      </c>
      <c r="H14" s="10" t="n">
        <v>-1168</v>
      </c>
      <c r="I14" s="10" t="n">
        <v>0</v>
      </c>
      <c r="J14" s="10" t="n">
        <v>0</v>
      </c>
      <c r="K14" s="18" t="n">
        <f aca="false">SUM(C14:J14)</f>
        <v>-27892</v>
      </c>
    </row>
    <row r="15" customFormat="false" ht="15" hidden="false" customHeight="false" outlineLevel="0" collapsed="false">
      <c r="B15" s="9" t="s">
        <v>235</v>
      </c>
      <c r="C15" s="10" t="n">
        <v>0</v>
      </c>
      <c r="D15" s="10" t="n">
        <v>4</v>
      </c>
      <c r="E15" s="10" t="n">
        <v>5017</v>
      </c>
      <c r="F15" s="10" t="n">
        <v>500</v>
      </c>
      <c r="G15" s="10" t="n">
        <v>0</v>
      </c>
      <c r="H15" s="10" t="n">
        <v>0</v>
      </c>
      <c r="I15" s="10" t="n">
        <v>0</v>
      </c>
      <c r="J15" s="10" t="n">
        <v>0</v>
      </c>
      <c r="K15" s="18" t="n">
        <f aca="false">SUM(C15:J15)</f>
        <v>5521</v>
      </c>
    </row>
    <row r="16" customFormat="false" ht="15" hidden="false" customHeight="false" outlineLevel="0" collapsed="false">
      <c r="B16" s="33" t="s">
        <v>236</v>
      </c>
      <c r="C16" s="13" t="n">
        <f aca="false">SUM(C13:C15)</f>
        <v>0</v>
      </c>
      <c r="D16" s="13" t="n">
        <f aca="false">SUM(D13:D15)</f>
        <v>-15671</v>
      </c>
      <c r="E16" s="13" t="n">
        <f aca="false">SUM(E13:E15)</f>
        <v>-222398</v>
      </c>
      <c r="F16" s="13" t="n">
        <f aca="false">SUM(F13:F15)</f>
        <v>-7850</v>
      </c>
      <c r="G16" s="13" t="n">
        <f aca="false">SUM(G13:G15)</f>
        <v>-1558</v>
      </c>
      <c r="H16" s="13" t="n">
        <f aca="false">SUM(H13:H15)</f>
        <v>-13089</v>
      </c>
      <c r="I16" s="13" t="n">
        <f aca="false">SUM(I13:I15)</f>
        <v>0</v>
      </c>
      <c r="J16" s="13" t="n">
        <f aca="false">SUM(J13:J15)</f>
        <v>0</v>
      </c>
      <c r="K16" s="13" t="n">
        <f aca="false">SUM(K13:K15)</f>
        <v>-260566</v>
      </c>
    </row>
    <row r="18" customFormat="false" ht="15" hidden="false" customHeight="false" outlineLevel="0" collapsed="false">
      <c r="B18" s="33" t="s">
        <v>237</v>
      </c>
      <c r="C18" s="13" t="n">
        <f aca="false">C11+C16</f>
        <v>15066</v>
      </c>
      <c r="D18" s="13" t="n">
        <f aca="false">D11+D16</f>
        <v>36420</v>
      </c>
      <c r="E18" s="13" t="n">
        <f aca="false">E11+E16</f>
        <v>512401</v>
      </c>
      <c r="F18" s="13" t="n">
        <f aca="false">F11+F16</f>
        <v>3976</v>
      </c>
      <c r="G18" s="13" t="n">
        <f aca="false">G11+G16</f>
        <v>1051</v>
      </c>
      <c r="H18" s="13" t="n">
        <f aca="false">H11+H16</f>
        <v>8579</v>
      </c>
      <c r="I18" s="13" t="n">
        <f aca="false">I11+I16</f>
        <v>6858</v>
      </c>
      <c r="J18" s="13" t="n">
        <f aca="false">J11+J16</f>
        <v>55032</v>
      </c>
      <c r="K18" s="13" t="n">
        <f aca="false">K11+K16</f>
        <v>639383</v>
      </c>
    </row>
    <row r="19" customFormat="false" ht="15" hidden="false" customHeight="false" outlineLevel="0" collapsed="false">
      <c r="B19" s="11" t="s">
        <v>238</v>
      </c>
      <c r="K19" s="22" t="n">
        <f aca="false">K18-'Situacion Financiera'!E17</f>
        <v>0</v>
      </c>
    </row>
    <row r="21" customFormat="false" ht="15" hidden="false" customHeight="false" outlineLevel="0" collapsed="false">
      <c r="B21" s="35" t="s">
        <v>239</v>
      </c>
      <c r="C21" s="35"/>
      <c r="D21" s="35"/>
      <c r="E21" s="35"/>
      <c r="F21" s="35"/>
      <c r="G21" s="35"/>
      <c r="H21" s="35"/>
      <c r="I21" s="35"/>
      <c r="J21" s="35"/>
      <c r="K21" s="35"/>
    </row>
    <row r="22" customFormat="false" ht="27.75" hidden="false" customHeight="true" outlineLevel="0" collapsed="false">
      <c r="C22" s="36" t="s">
        <v>220</v>
      </c>
      <c r="D22" s="36" t="s">
        <v>221</v>
      </c>
      <c r="E22" s="36" t="s">
        <v>222</v>
      </c>
      <c r="F22" s="36" t="s">
        <v>223</v>
      </c>
      <c r="G22" s="36" t="s">
        <v>224</v>
      </c>
      <c r="H22" s="36" t="s">
        <v>225</v>
      </c>
      <c r="I22" s="36" t="s">
        <v>226</v>
      </c>
      <c r="J22" s="36" t="s">
        <v>227</v>
      </c>
      <c r="K22" s="30" t="s">
        <v>228</v>
      </c>
    </row>
    <row r="23" customFormat="false" ht="15" hidden="false" customHeight="false" outlineLevel="0" collapsed="false">
      <c r="B23" s="6" t="s">
        <v>229</v>
      </c>
      <c r="C23" s="7" t="n">
        <v>15066</v>
      </c>
      <c r="D23" s="7" t="n">
        <v>52091</v>
      </c>
      <c r="E23" s="7" t="n">
        <v>734799</v>
      </c>
      <c r="F23" s="7" t="n">
        <v>11826</v>
      </c>
      <c r="G23" s="7" t="n">
        <v>2609</v>
      </c>
      <c r="H23" s="7" t="n">
        <v>21668</v>
      </c>
      <c r="I23" s="7" t="n">
        <v>6858</v>
      </c>
      <c r="J23" s="7" t="n">
        <v>55032</v>
      </c>
      <c r="K23" s="32" t="n">
        <f aca="false">SUM(C23:J23)</f>
        <v>899949</v>
      </c>
    </row>
    <row r="24" customFormat="false" ht="15" hidden="false" customHeight="false" outlineLevel="0" collapsed="false">
      <c r="B24" s="9" t="s">
        <v>230</v>
      </c>
      <c r="C24" s="10" t="n">
        <v>43</v>
      </c>
      <c r="D24" s="10" t="n">
        <v>0</v>
      </c>
      <c r="E24" s="10" t="n">
        <v>6865</v>
      </c>
      <c r="F24" s="10" t="n">
        <v>0</v>
      </c>
      <c r="G24" s="10" t="n">
        <v>0</v>
      </c>
      <c r="H24" s="10" t="n">
        <v>0</v>
      </c>
      <c r="I24" s="10" t="n">
        <v>4160</v>
      </c>
      <c r="J24" s="10" t="n">
        <v>110507</v>
      </c>
      <c r="K24" s="18" t="n">
        <f aca="false">SUM(C24:J24)</f>
        <v>121575</v>
      </c>
    </row>
    <row r="25" customFormat="false" ht="15" hidden="false" customHeight="false" outlineLevel="0" collapsed="false">
      <c r="B25" s="9" t="s">
        <v>231</v>
      </c>
      <c r="C25" s="10" t="n">
        <v>0</v>
      </c>
      <c r="D25" s="10" t="n">
        <v>214</v>
      </c>
      <c r="E25" s="10" t="n">
        <v>45499</v>
      </c>
      <c r="F25" s="10" t="n">
        <v>0</v>
      </c>
      <c r="G25" s="10" t="n">
        <v>239</v>
      </c>
      <c r="H25" s="10" t="n">
        <v>2244</v>
      </c>
      <c r="I25" s="10" t="n">
        <v>-2275</v>
      </c>
      <c r="J25" s="10" t="n">
        <v>-45921</v>
      </c>
      <c r="K25" s="18" t="n">
        <f aca="false">SUM(C25:J25)</f>
        <v>0</v>
      </c>
    </row>
    <row r="26" customFormat="false" ht="15" hidden="false" customHeight="false" outlineLevel="0" collapsed="false">
      <c r="B26" s="9" t="s">
        <v>232</v>
      </c>
      <c r="C26" s="10" t="n">
        <v>0</v>
      </c>
      <c r="D26" s="10" t="n">
        <v>0</v>
      </c>
      <c r="E26" s="10" t="n">
        <v>-9996</v>
      </c>
      <c r="F26" s="10" t="n">
        <v>0</v>
      </c>
      <c r="G26" s="10" t="n">
        <v>-9</v>
      </c>
      <c r="H26" s="10" t="n">
        <v>-141</v>
      </c>
      <c r="I26" s="10" t="n">
        <v>0</v>
      </c>
      <c r="J26" s="10" t="n">
        <v>0</v>
      </c>
      <c r="K26" s="18" t="n">
        <f aca="false">SUM(C26:J26)</f>
        <v>-10146</v>
      </c>
    </row>
    <row r="27" customFormat="false" ht="15" hidden="false" customHeight="false" outlineLevel="0" collapsed="false">
      <c r="B27" s="33" t="s">
        <v>233</v>
      </c>
      <c r="C27" s="13" t="n">
        <f aca="false">SUM(C23:C26)</f>
        <v>15109</v>
      </c>
      <c r="D27" s="13" t="n">
        <f aca="false">SUM(D23:D26)</f>
        <v>52305</v>
      </c>
      <c r="E27" s="13" t="n">
        <f aca="false">SUM(E23:E26)</f>
        <v>777167</v>
      </c>
      <c r="F27" s="13" t="n">
        <f aca="false">SUM(F23:F26)</f>
        <v>11826</v>
      </c>
      <c r="G27" s="13" t="n">
        <f aca="false">SUM(G23:G26)</f>
        <v>2839</v>
      </c>
      <c r="H27" s="13" t="n">
        <f aca="false">SUM(H23:H26)</f>
        <v>23771</v>
      </c>
      <c r="I27" s="13" t="n">
        <f aca="false">SUM(I23:I26)</f>
        <v>8743</v>
      </c>
      <c r="J27" s="13" t="n">
        <f aca="false">SUM(J23:J26)</f>
        <v>119618</v>
      </c>
      <c r="K27" s="13" t="n">
        <f aca="false">SUM(K23:K26)</f>
        <v>1011378</v>
      </c>
    </row>
    <row r="29" customFormat="false" ht="15" hidden="false" customHeight="false" outlineLevel="0" collapsed="false">
      <c r="B29" s="6" t="s">
        <v>229</v>
      </c>
      <c r="C29" s="7" t="n">
        <v>0</v>
      </c>
      <c r="D29" s="7" t="n">
        <v>-15671</v>
      </c>
      <c r="E29" s="7" t="n">
        <v>-222398</v>
      </c>
      <c r="F29" s="7" t="n">
        <v>-7850</v>
      </c>
      <c r="G29" s="7" t="n">
        <v>-1558</v>
      </c>
      <c r="H29" s="7" t="n">
        <v>-13089</v>
      </c>
      <c r="I29" s="7" t="n">
        <v>0</v>
      </c>
      <c r="J29" s="7" t="n">
        <v>0</v>
      </c>
      <c r="K29" s="32" t="n">
        <f aca="false">SUM(C29:J29)</f>
        <v>-260566</v>
      </c>
    </row>
    <row r="30" customFormat="false" ht="15" hidden="false" customHeight="false" outlineLevel="0" collapsed="false">
      <c r="B30" s="9" t="s">
        <v>234</v>
      </c>
      <c r="C30" s="10" t="n">
        <v>0</v>
      </c>
      <c r="D30" s="10" t="n">
        <v>-1052</v>
      </c>
      <c r="E30" s="10" t="n">
        <v>-26525</v>
      </c>
      <c r="F30" s="10" t="n">
        <v>-834</v>
      </c>
      <c r="G30" s="10" t="n">
        <v>-142</v>
      </c>
      <c r="H30" s="10" t="n">
        <v>-1139</v>
      </c>
      <c r="I30" s="10" t="n">
        <v>0</v>
      </c>
      <c r="J30" s="10" t="n">
        <v>0</v>
      </c>
      <c r="K30" s="18" t="n">
        <f aca="false">SUM(C30:J30)</f>
        <v>-29692</v>
      </c>
    </row>
    <row r="31" customFormat="false" ht="15" hidden="false" customHeight="false" outlineLevel="0" collapsed="false">
      <c r="B31" s="9" t="s">
        <v>235</v>
      </c>
      <c r="C31" s="10" t="n">
        <v>0</v>
      </c>
      <c r="D31" s="10" t="n">
        <v>0</v>
      </c>
      <c r="E31" s="10" t="n">
        <v>9174</v>
      </c>
      <c r="F31" s="10" t="n">
        <v>0</v>
      </c>
      <c r="G31" s="10" t="n">
        <v>9</v>
      </c>
      <c r="H31" s="10" t="n">
        <v>123</v>
      </c>
      <c r="I31" s="10" t="n">
        <v>0</v>
      </c>
      <c r="J31" s="10" t="n">
        <v>0</v>
      </c>
      <c r="K31" s="18" t="n">
        <f aca="false">SUM(C31:J31)</f>
        <v>9306</v>
      </c>
    </row>
    <row r="32" customFormat="false" ht="15" hidden="false" customHeight="false" outlineLevel="0" collapsed="false">
      <c r="B32" s="33" t="s">
        <v>236</v>
      </c>
      <c r="C32" s="13" t="n">
        <f aca="false">SUM(C29:C31)</f>
        <v>0</v>
      </c>
      <c r="D32" s="13" t="n">
        <f aca="false">SUM(D29:D31)</f>
        <v>-16723</v>
      </c>
      <c r="E32" s="13" t="n">
        <f aca="false">SUM(E29:E31)</f>
        <v>-239749</v>
      </c>
      <c r="F32" s="13" t="n">
        <f aca="false">SUM(F29:F31)</f>
        <v>-8684</v>
      </c>
      <c r="G32" s="13" t="n">
        <f aca="false">SUM(G29:G31)</f>
        <v>-1691</v>
      </c>
      <c r="H32" s="13" t="n">
        <f aca="false">SUM(H29:H31)</f>
        <v>-14105</v>
      </c>
      <c r="I32" s="13" t="n">
        <f aca="false">SUM(I29:I31)</f>
        <v>0</v>
      </c>
      <c r="J32" s="13" t="n">
        <f aca="false">SUM(J29:J31)</f>
        <v>0</v>
      </c>
      <c r="K32" s="13" t="n">
        <f aca="false">SUM(K29:K31)</f>
        <v>-280952</v>
      </c>
    </row>
    <row r="34" customFormat="false" ht="15" hidden="false" customHeight="false" outlineLevel="0" collapsed="false">
      <c r="B34" s="33" t="s">
        <v>237</v>
      </c>
      <c r="C34" s="13" t="n">
        <f aca="false">C27+C32</f>
        <v>15109</v>
      </c>
      <c r="D34" s="13" t="n">
        <f aca="false">D27+D32</f>
        <v>35582</v>
      </c>
      <c r="E34" s="13" t="n">
        <f aca="false">E27+E32</f>
        <v>537418</v>
      </c>
      <c r="F34" s="13" t="n">
        <f aca="false">F27+F32</f>
        <v>3142</v>
      </c>
      <c r="G34" s="13" t="n">
        <f aca="false">G27+G32</f>
        <v>1148</v>
      </c>
      <c r="H34" s="13" t="n">
        <f aca="false">H27+H32</f>
        <v>9666</v>
      </c>
      <c r="I34" s="13" t="n">
        <f aca="false">I27+I32</f>
        <v>8743</v>
      </c>
      <c r="J34" s="13" t="n">
        <f aca="false">J27+J32</f>
        <v>119618</v>
      </c>
      <c r="K34" s="13" t="n">
        <f aca="false">K27+K32</f>
        <v>730426</v>
      </c>
    </row>
    <row r="35" customFormat="false" ht="15" hidden="false" customHeight="false" outlineLevel="0" collapsed="false">
      <c r="B35" s="11" t="s">
        <v>238</v>
      </c>
      <c r="K35" s="22" t="n">
        <f aca="false">K34-'Situacion Financiera'!I17</f>
        <v>0</v>
      </c>
    </row>
    <row r="37" customFormat="false" ht="15" hidden="false" customHeight="false" outlineLevel="0" collapsed="false">
      <c r="B37" s="35" t="s">
        <v>240</v>
      </c>
      <c r="C37" s="35"/>
      <c r="D37" s="35"/>
      <c r="E37" s="35"/>
      <c r="F37" s="35"/>
      <c r="G37" s="35"/>
      <c r="H37" s="35"/>
      <c r="I37" s="35"/>
      <c r="J37" s="35"/>
      <c r="K37" s="35"/>
    </row>
    <row r="38" customFormat="false" ht="27.75" hidden="false" customHeight="true" outlineLevel="0" collapsed="false">
      <c r="C38" s="36" t="s">
        <v>220</v>
      </c>
      <c r="D38" s="36" t="s">
        <v>221</v>
      </c>
      <c r="E38" s="36" t="s">
        <v>222</v>
      </c>
      <c r="F38" s="36" t="s">
        <v>223</v>
      </c>
      <c r="G38" s="36" t="s">
        <v>224</v>
      </c>
      <c r="H38" s="36" t="s">
        <v>225</v>
      </c>
      <c r="I38" s="36" t="s">
        <v>226</v>
      </c>
      <c r="J38" s="36" t="s">
        <v>227</v>
      </c>
      <c r="K38" s="30" t="s">
        <v>228</v>
      </c>
    </row>
    <row r="39" customFormat="false" ht="15" hidden="false" customHeight="false" outlineLevel="0" collapsed="false">
      <c r="B39" s="6" t="s">
        <v>229</v>
      </c>
      <c r="C39" s="7" t="n">
        <v>15109</v>
      </c>
      <c r="D39" s="7" t="n">
        <v>52305</v>
      </c>
      <c r="E39" s="7" t="n">
        <v>777167</v>
      </c>
      <c r="F39" s="7" t="n">
        <v>11826</v>
      </c>
      <c r="G39" s="7" t="n">
        <v>2839</v>
      </c>
      <c r="H39" s="7" t="n">
        <v>23771</v>
      </c>
      <c r="I39" s="7" t="n">
        <v>8743</v>
      </c>
      <c r="J39" s="7" t="n">
        <v>119618</v>
      </c>
      <c r="K39" s="32" t="n">
        <f aca="false">SUM(C39:J39)</f>
        <v>1011378</v>
      </c>
    </row>
    <row r="40" customFormat="false" ht="15" hidden="false" customHeight="false" outlineLevel="0" collapsed="false">
      <c r="B40" s="9" t="s">
        <v>230</v>
      </c>
      <c r="C40" s="10" t="n">
        <v>156</v>
      </c>
      <c r="D40" s="10" t="n">
        <v>0</v>
      </c>
      <c r="E40" s="10" t="n">
        <v>2165</v>
      </c>
      <c r="F40" s="10" t="n">
        <v>0</v>
      </c>
      <c r="G40" s="10" t="n">
        <v>0</v>
      </c>
      <c r="H40" s="10" t="n">
        <v>72</v>
      </c>
      <c r="I40" s="10" t="n">
        <v>-2529</v>
      </c>
      <c r="J40" s="10" t="n">
        <v>47793</v>
      </c>
      <c r="K40" s="18" t="n">
        <f aca="false">SUM(C40:J40)</f>
        <v>47657</v>
      </c>
    </row>
    <row r="41" customFormat="false" ht="15" hidden="false" customHeight="false" outlineLevel="0" collapsed="false">
      <c r="B41" s="9" t="s">
        <v>231</v>
      </c>
      <c r="C41" s="10" t="n">
        <v>0</v>
      </c>
      <c r="D41" s="10" t="n">
        <v>2731</v>
      </c>
      <c r="E41" s="10" t="n">
        <v>24885</v>
      </c>
      <c r="F41" s="10" t="n">
        <v>0</v>
      </c>
      <c r="G41" s="10" t="n">
        <v>20</v>
      </c>
      <c r="H41" s="10" t="n">
        <v>1039</v>
      </c>
      <c r="I41" s="10" t="n">
        <v>-805</v>
      </c>
      <c r="J41" s="10" t="n">
        <v>-27870</v>
      </c>
      <c r="K41" s="18" t="n">
        <f aca="false">SUM(C41:J41)</f>
        <v>0</v>
      </c>
    </row>
    <row r="42" customFormat="false" ht="15" hidden="false" customHeight="false" outlineLevel="0" collapsed="false">
      <c r="B42" s="9" t="s">
        <v>232</v>
      </c>
      <c r="C42" s="10" t="n">
        <v>0</v>
      </c>
      <c r="D42" s="10" t="n">
        <v>0</v>
      </c>
      <c r="E42" s="10" t="n">
        <v>-2401</v>
      </c>
      <c r="F42" s="10" t="n">
        <v>-81</v>
      </c>
      <c r="G42" s="10" t="n">
        <v>0</v>
      </c>
      <c r="H42" s="10" t="n">
        <v>0</v>
      </c>
      <c r="I42" s="10" t="n">
        <v>0</v>
      </c>
      <c r="J42" s="10" t="n">
        <v>0</v>
      </c>
      <c r="K42" s="18" t="n">
        <f aca="false">SUM(C42:J42)</f>
        <v>-2482</v>
      </c>
    </row>
    <row r="43" customFormat="false" ht="15" hidden="false" customHeight="false" outlineLevel="0" collapsed="false">
      <c r="B43" s="33" t="s">
        <v>233</v>
      </c>
      <c r="C43" s="13" t="n">
        <f aca="false">SUM(C39:C42)</f>
        <v>15265</v>
      </c>
      <c r="D43" s="13" t="n">
        <f aca="false">SUM(D39:D42)</f>
        <v>55036</v>
      </c>
      <c r="E43" s="13" t="n">
        <f aca="false">SUM(E39:E42)</f>
        <v>801816</v>
      </c>
      <c r="F43" s="13" t="n">
        <f aca="false">SUM(F39:F42)</f>
        <v>11745</v>
      </c>
      <c r="G43" s="13" t="n">
        <f aca="false">SUM(G39:G42)</f>
        <v>2859</v>
      </c>
      <c r="H43" s="13" t="n">
        <f aca="false">SUM(H39:H42)</f>
        <v>24882</v>
      </c>
      <c r="I43" s="13" t="n">
        <f aca="false">SUM(I39:I42)</f>
        <v>5409</v>
      </c>
      <c r="J43" s="13" t="n">
        <f aca="false">SUM(J39:J42)</f>
        <v>139541</v>
      </c>
      <c r="K43" s="13" t="n">
        <f aca="false">SUM(K39:K42)</f>
        <v>1056553</v>
      </c>
    </row>
    <row r="45" customFormat="false" ht="15" hidden="false" customHeight="false" outlineLevel="0" collapsed="false">
      <c r="B45" s="6" t="s">
        <v>229</v>
      </c>
      <c r="C45" s="7" t="n">
        <v>0</v>
      </c>
      <c r="D45" s="7" t="n">
        <v>-16723</v>
      </c>
      <c r="E45" s="7" t="n">
        <v>-239749</v>
      </c>
      <c r="F45" s="7" t="n">
        <v>-8684</v>
      </c>
      <c r="G45" s="7" t="n">
        <v>-1691</v>
      </c>
      <c r="H45" s="7" t="n">
        <v>-14105</v>
      </c>
      <c r="I45" s="7" t="n">
        <v>0</v>
      </c>
      <c r="J45" s="7" t="n">
        <v>0</v>
      </c>
      <c r="K45" s="32" t="n">
        <f aca="false">SUM(C45:J45)</f>
        <v>-280952</v>
      </c>
    </row>
    <row r="46" customFormat="false" ht="15" hidden="false" customHeight="false" outlineLevel="0" collapsed="false">
      <c r="B46" s="9" t="s">
        <v>234</v>
      </c>
      <c r="C46" s="10" t="n">
        <v>0</v>
      </c>
      <c r="D46" s="10" t="n">
        <v>-653</v>
      </c>
      <c r="E46" s="10" t="n">
        <v>-13848</v>
      </c>
      <c r="F46" s="10" t="n">
        <v>-357</v>
      </c>
      <c r="G46" s="10" t="n">
        <v>-78</v>
      </c>
      <c r="H46" s="10" t="n">
        <v>-631</v>
      </c>
      <c r="I46" s="10" t="n">
        <v>0</v>
      </c>
      <c r="J46" s="10" t="n">
        <v>0</v>
      </c>
      <c r="K46" s="18" t="n">
        <f aca="false">SUM(C46:J46)</f>
        <v>-15567</v>
      </c>
    </row>
    <row r="47" customFormat="false" ht="15" hidden="false" customHeight="false" outlineLevel="0" collapsed="false">
      <c r="B47" s="9" t="s">
        <v>235</v>
      </c>
      <c r="C47" s="10" t="n">
        <v>0</v>
      </c>
      <c r="D47" s="10" t="n">
        <v>0</v>
      </c>
      <c r="E47" s="10" t="n">
        <v>1825</v>
      </c>
      <c r="F47" s="10" t="n">
        <v>59</v>
      </c>
      <c r="G47" s="10" t="n">
        <v>0</v>
      </c>
      <c r="H47" s="10" t="n">
        <v>0</v>
      </c>
      <c r="I47" s="10" t="n">
        <v>0</v>
      </c>
      <c r="J47" s="10" t="n">
        <v>0</v>
      </c>
      <c r="K47" s="18" t="n">
        <f aca="false">SUM(C47:J47)</f>
        <v>1884</v>
      </c>
    </row>
    <row r="48" customFormat="false" ht="15" hidden="false" customHeight="false" outlineLevel="0" collapsed="false">
      <c r="B48" s="33" t="s">
        <v>236</v>
      </c>
      <c r="C48" s="13" t="n">
        <f aca="false">SUM(C45:C47)</f>
        <v>0</v>
      </c>
      <c r="D48" s="13" t="n">
        <f aca="false">SUM(D45:D47)</f>
        <v>-17376</v>
      </c>
      <c r="E48" s="13" t="n">
        <f aca="false">SUM(E45:E47)</f>
        <v>-251772</v>
      </c>
      <c r="F48" s="13" t="n">
        <f aca="false">SUM(F45:F47)</f>
        <v>-8982</v>
      </c>
      <c r="G48" s="13" t="n">
        <f aca="false">SUM(G45:G47)</f>
        <v>-1769</v>
      </c>
      <c r="H48" s="13" t="n">
        <f aca="false">SUM(H45:H47)</f>
        <v>-14736</v>
      </c>
      <c r="I48" s="13" t="n">
        <f aca="false">SUM(I45:I47)</f>
        <v>0</v>
      </c>
      <c r="J48" s="13" t="n">
        <f aca="false">SUM(J45:J47)</f>
        <v>0</v>
      </c>
      <c r="K48" s="13" t="n">
        <f aca="false">SUM(K45:K47)</f>
        <v>-294635</v>
      </c>
    </row>
    <row r="50" customFormat="false" ht="15" hidden="false" customHeight="false" outlineLevel="0" collapsed="false">
      <c r="B50" s="33" t="s">
        <v>237</v>
      </c>
      <c r="C50" s="13" t="n">
        <f aca="false">C43+C48</f>
        <v>15265</v>
      </c>
      <c r="D50" s="13" t="n">
        <f aca="false">D43+D48</f>
        <v>37660</v>
      </c>
      <c r="E50" s="13" t="n">
        <f aca="false">E43+E48</f>
        <v>550044</v>
      </c>
      <c r="F50" s="13" t="n">
        <f aca="false">F43+F48</f>
        <v>2763</v>
      </c>
      <c r="G50" s="13" t="n">
        <f aca="false">G43+G48</f>
        <v>1090</v>
      </c>
      <c r="H50" s="13" t="n">
        <f aca="false">H43+H48</f>
        <v>10146</v>
      </c>
      <c r="I50" s="13" t="n">
        <f aca="false">I43+I48</f>
        <v>5409</v>
      </c>
      <c r="J50" s="13" t="n">
        <f aca="false">J43+J48</f>
        <v>139541</v>
      </c>
      <c r="K50" s="13" t="n">
        <f aca="false">K43+K48</f>
        <v>761918</v>
      </c>
    </row>
    <row r="51" customFormat="false" ht="15" hidden="false" customHeight="false" outlineLevel="0" collapsed="false">
      <c r="B51" s="11" t="s">
        <v>238</v>
      </c>
      <c r="K51" s="22" t="n">
        <f aca="false">K50-'Situacion Financiera'!K17</f>
        <v>0</v>
      </c>
    </row>
    <row r="53" customFormat="false" ht="15" hidden="false" customHeight="false" outlineLevel="0" collapsed="false">
      <c r="B53" s="5" t="s">
        <v>241</v>
      </c>
      <c r="C53" s="5"/>
      <c r="D53" s="5"/>
      <c r="E53" s="5"/>
      <c r="F53" s="5"/>
      <c r="G53" s="5"/>
      <c r="H53" s="5"/>
      <c r="I53" s="5"/>
      <c r="J53" s="5"/>
      <c r="K53" s="5"/>
      <c r="L53" s="5"/>
      <c r="M53" s="5"/>
      <c r="N53" s="5"/>
      <c r="O53" s="5"/>
      <c r="P53" s="5"/>
      <c r="Q53" s="5"/>
    </row>
    <row r="54" customFormat="false" ht="15" hidden="false" customHeight="false" outlineLevel="0" collapsed="false">
      <c r="B54" s="35" t="s">
        <v>219</v>
      </c>
      <c r="C54" s="35"/>
      <c r="D54" s="35"/>
      <c r="E54" s="35"/>
      <c r="F54" s="35"/>
      <c r="G54" s="35"/>
    </row>
    <row r="55" customFormat="false" ht="27.75" hidden="false" customHeight="true" outlineLevel="0" collapsed="false">
      <c r="C55" s="36" t="s">
        <v>242</v>
      </c>
      <c r="D55" s="36" t="s">
        <v>222</v>
      </c>
      <c r="E55" s="36" t="s">
        <v>243</v>
      </c>
      <c r="F55" s="36" t="s">
        <v>244</v>
      </c>
      <c r="G55" s="30" t="s">
        <v>228</v>
      </c>
    </row>
    <row r="56" customFormat="false" ht="15" hidden="false" customHeight="false" outlineLevel="0" collapsed="false">
      <c r="B56" s="6" t="s">
        <v>229</v>
      </c>
      <c r="C56" s="7" t="n">
        <v>7009</v>
      </c>
      <c r="D56" s="7" t="n">
        <v>190650</v>
      </c>
      <c r="E56" s="7" t="n">
        <v>3365</v>
      </c>
      <c r="F56" s="7" t="n">
        <v>4972</v>
      </c>
      <c r="G56" s="32" t="n">
        <f aca="false">SUM(C56:F56)</f>
        <v>205996</v>
      </c>
    </row>
    <row r="57" customFormat="false" ht="15" hidden="false" customHeight="false" outlineLevel="0" collapsed="false">
      <c r="B57" s="9" t="s">
        <v>230</v>
      </c>
      <c r="C57" s="10" t="n">
        <v>0</v>
      </c>
      <c r="D57" s="10" t="n">
        <v>53722</v>
      </c>
      <c r="E57" s="10" t="n">
        <v>503</v>
      </c>
      <c r="F57" s="10" t="n">
        <v>566</v>
      </c>
      <c r="G57" s="18" t="n">
        <f aca="false">SUM(C57:F57)</f>
        <v>54791</v>
      </c>
    </row>
    <row r="58" customFormat="false" ht="15" hidden="false" customHeight="false" outlineLevel="0" collapsed="false">
      <c r="B58" s="9" t="s">
        <v>231</v>
      </c>
      <c r="C58" s="10" t="n">
        <v>0</v>
      </c>
      <c r="D58" s="10" t="n">
        <v>0</v>
      </c>
      <c r="E58" s="10" t="n">
        <v>0</v>
      </c>
      <c r="F58" s="10" t="n">
        <v>0</v>
      </c>
      <c r="G58" s="18" t="n">
        <f aca="false">SUM(C58:F58)</f>
        <v>0</v>
      </c>
    </row>
    <row r="59" customFormat="false" ht="15" hidden="false" customHeight="false" outlineLevel="0" collapsed="false">
      <c r="B59" s="9" t="s">
        <v>232</v>
      </c>
      <c r="C59" s="10" t="n">
        <v>0</v>
      </c>
      <c r="D59" s="10" t="n">
        <v>0</v>
      </c>
      <c r="E59" s="10" t="n">
        <v>-399</v>
      </c>
      <c r="F59" s="10" t="n">
        <v>-1435</v>
      </c>
      <c r="G59" s="18" t="n">
        <f aca="false">SUM(C59:F59)</f>
        <v>-1834</v>
      </c>
    </row>
    <row r="60" customFormat="false" ht="15" hidden="false" customHeight="false" outlineLevel="0" collapsed="false">
      <c r="B60" s="33" t="s">
        <v>233</v>
      </c>
      <c r="C60" s="13" t="n">
        <f aca="false">SUM(C56:C59)</f>
        <v>7009</v>
      </c>
      <c r="D60" s="13" t="n">
        <f aca="false">SUM(D56:D59)</f>
        <v>244372</v>
      </c>
      <c r="E60" s="13" t="n">
        <f aca="false">SUM(E56:E59)</f>
        <v>3469</v>
      </c>
      <c r="F60" s="13" t="n">
        <f aca="false">SUM(F56:F59)</f>
        <v>4103</v>
      </c>
      <c r="G60" s="13" t="n">
        <f aca="false">SUM(G56:G59)</f>
        <v>258953</v>
      </c>
    </row>
    <row r="62" customFormat="false" ht="15" hidden="false" customHeight="false" outlineLevel="0" collapsed="false">
      <c r="B62" s="6" t="s">
        <v>229</v>
      </c>
      <c r="C62" s="7" t="n">
        <v>-3409</v>
      </c>
      <c r="D62" s="7" t="n">
        <v>-109134</v>
      </c>
      <c r="E62" s="7" t="n">
        <v>-1433</v>
      </c>
      <c r="F62" s="7" t="n">
        <v>-3082</v>
      </c>
      <c r="G62" s="32" t="n">
        <f aca="false">SUM(C62:F62)</f>
        <v>-117058</v>
      </c>
    </row>
    <row r="63" customFormat="false" ht="15" hidden="false" customHeight="false" outlineLevel="0" collapsed="false">
      <c r="B63" s="9" t="s">
        <v>234</v>
      </c>
      <c r="C63" s="10" t="n">
        <v>-737</v>
      </c>
      <c r="D63" s="10" t="n">
        <v>-22887</v>
      </c>
      <c r="E63" s="10" t="n">
        <v>-675</v>
      </c>
      <c r="F63" s="10" t="n">
        <v>-1176</v>
      </c>
      <c r="G63" s="18" t="n">
        <f aca="false">SUM(C63:F63)</f>
        <v>-25475</v>
      </c>
    </row>
    <row r="64" customFormat="false" ht="15" hidden="false" customHeight="false" outlineLevel="0" collapsed="false">
      <c r="B64" s="9" t="s">
        <v>235</v>
      </c>
      <c r="C64" s="10" t="n">
        <v>0</v>
      </c>
      <c r="D64" s="10" t="n">
        <v>0</v>
      </c>
      <c r="E64" s="10" t="n">
        <v>346</v>
      </c>
      <c r="F64" s="10" t="n">
        <v>1435</v>
      </c>
      <c r="G64" s="18" t="n">
        <f aca="false">SUM(C64:F64)</f>
        <v>1781</v>
      </c>
    </row>
    <row r="65" customFormat="false" ht="15" hidden="false" customHeight="false" outlineLevel="0" collapsed="false">
      <c r="B65" s="33" t="s">
        <v>236</v>
      </c>
      <c r="C65" s="13" t="n">
        <f aca="false">SUM(C62:C64)</f>
        <v>-4146</v>
      </c>
      <c r="D65" s="13" t="n">
        <f aca="false">SUM(D62:D64)</f>
        <v>-132021</v>
      </c>
      <c r="E65" s="13" t="n">
        <f aca="false">SUM(E62:E64)</f>
        <v>-1762</v>
      </c>
      <c r="F65" s="13" t="n">
        <f aca="false">SUM(F62:F64)</f>
        <v>-2823</v>
      </c>
      <c r="G65" s="13" t="n">
        <f aca="false">SUM(G62:G64)</f>
        <v>-140752</v>
      </c>
    </row>
    <row r="67" customFormat="false" ht="15" hidden="false" customHeight="false" outlineLevel="0" collapsed="false">
      <c r="B67" s="33" t="s">
        <v>237</v>
      </c>
      <c r="C67" s="13" t="n">
        <f aca="false">C60+C65</f>
        <v>2863</v>
      </c>
      <c r="D67" s="13" t="n">
        <f aca="false">D60+D65</f>
        <v>112351</v>
      </c>
      <c r="E67" s="13" t="n">
        <f aca="false">E60+E65</f>
        <v>1707</v>
      </c>
      <c r="F67" s="13" t="n">
        <f aca="false">F60+F65</f>
        <v>1280</v>
      </c>
      <c r="G67" s="13" t="n">
        <f aca="false">G60+G65</f>
        <v>118201</v>
      </c>
    </row>
    <row r="68" customFormat="false" ht="15" hidden="false" customHeight="false" outlineLevel="0" collapsed="false">
      <c r="B68" s="11" t="s">
        <v>245</v>
      </c>
      <c r="G68" s="22" t="n">
        <f aca="false">G67-'Situacion Financiera'!E18</f>
        <v>0</v>
      </c>
    </row>
    <row r="70" customFormat="false" ht="15" hidden="false" customHeight="false" outlineLevel="0" collapsed="false">
      <c r="B70" s="35" t="s">
        <v>239</v>
      </c>
      <c r="C70" s="35"/>
      <c r="D70" s="35"/>
      <c r="E70" s="35"/>
      <c r="F70" s="35"/>
      <c r="G70" s="35"/>
    </row>
    <row r="71" customFormat="false" ht="27.75" hidden="false" customHeight="true" outlineLevel="0" collapsed="false">
      <c r="C71" s="36" t="s">
        <v>242</v>
      </c>
      <c r="D71" s="36" t="s">
        <v>222</v>
      </c>
      <c r="E71" s="36" t="s">
        <v>243</v>
      </c>
      <c r="F71" s="36" t="s">
        <v>244</v>
      </c>
      <c r="G71" s="30" t="s">
        <v>228</v>
      </c>
    </row>
    <row r="72" customFormat="false" ht="15" hidden="false" customHeight="false" outlineLevel="0" collapsed="false">
      <c r="B72" s="6" t="s">
        <v>229</v>
      </c>
      <c r="C72" s="7" t="n">
        <v>7009</v>
      </c>
      <c r="D72" s="7" t="n">
        <v>244372</v>
      </c>
      <c r="E72" s="7" t="n">
        <v>3469</v>
      </c>
      <c r="F72" s="7" t="n">
        <v>4103</v>
      </c>
      <c r="G72" s="32" t="n">
        <f aca="false">SUM(C72:F72)</f>
        <v>258953</v>
      </c>
    </row>
    <row r="73" customFormat="false" ht="15" hidden="false" customHeight="false" outlineLevel="0" collapsed="false">
      <c r="B73" s="9" t="s">
        <v>230</v>
      </c>
      <c r="C73" s="10" t="n">
        <v>0</v>
      </c>
      <c r="D73" s="10" t="n">
        <v>0</v>
      </c>
      <c r="E73" s="10" t="n">
        <v>0</v>
      </c>
      <c r="F73" s="10" t="n">
        <v>398</v>
      </c>
      <c r="G73" s="18" t="n">
        <f aca="false">SUM(C73:F73)</f>
        <v>398</v>
      </c>
    </row>
    <row r="74" customFormat="false" ht="15" hidden="false" customHeight="false" outlineLevel="0" collapsed="false">
      <c r="B74" s="9" t="s">
        <v>231</v>
      </c>
      <c r="C74" s="10" t="n">
        <v>0</v>
      </c>
      <c r="D74" s="10" t="n">
        <v>0</v>
      </c>
      <c r="E74" s="10" t="n">
        <v>0</v>
      </c>
      <c r="F74" s="10" t="n">
        <v>0</v>
      </c>
      <c r="G74" s="18" t="n">
        <f aca="false">SUM(C74:F74)</f>
        <v>0</v>
      </c>
    </row>
    <row r="75" customFormat="false" ht="15" hidden="false" customHeight="false" outlineLevel="0" collapsed="false">
      <c r="B75" s="9" t="s">
        <v>232</v>
      </c>
      <c r="C75" s="10" t="n">
        <v>0</v>
      </c>
      <c r="D75" s="10" t="n">
        <v>0</v>
      </c>
      <c r="E75" s="10" t="n">
        <v>-659</v>
      </c>
      <c r="F75" s="10" t="n">
        <v>-2017</v>
      </c>
      <c r="G75" s="18" t="n">
        <f aca="false">SUM(C75:F75)</f>
        <v>-2676</v>
      </c>
    </row>
    <row r="76" customFormat="false" ht="15" hidden="false" customHeight="false" outlineLevel="0" collapsed="false">
      <c r="B76" s="33" t="s">
        <v>233</v>
      </c>
      <c r="C76" s="13" t="n">
        <f aca="false">SUM(C72:C75)</f>
        <v>7009</v>
      </c>
      <c r="D76" s="13" t="n">
        <f aca="false">SUM(D72:D75)</f>
        <v>244372</v>
      </c>
      <c r="E76" s="13" t="n">
        <f aca="false">SUM(E72:E75)</f>
        <v>2810</v>
      </c>
      <c r="F76" s="13" t="n">
        <f aca="false">SUM(F72:F75)</f>
        <v>2484</v>
      </c>
      <c r="G76" s="13" t="n">
        <f aca="false">SUM(G72:G75)</f>
        <v>256675</v>
      </c>
    </row>
    <row r="78" customFormat="false" ht="15" hidden="false" customHeight="false" outlineLevel="0" collapsed="false">
      <c r="B78" s="6" t="s">
        <v>229</v>
      </c>
      <c r="C78" s="7" t="n">
        <v>-4146</v>
      </c>
      <c r="D78" s="7" t="n">
        <v>-132021</v>
      </c>
      <c r="E78" s="7" t="n">
        <v>-1762</v>
      </c>
      <c r="F78" s="7" t="n">
        <v>-2823</v>
      </c>
      <c r="G78" s="32" t="n">
        <f aca="false">SUM(C78:F78)</f>
        <v>-140752</v>
      </c>
    </row>
    <row r="79" customFormat="false" ht="15" hidden="false" customHeight="false" outlineLevel="0" collapsed="false">
      <c r="B79" s="9" t="s">
        <v>234</v>
      </c>
      <c r="C79" s="10" t="n">
        <v>-747</v>
      </c>
      <c r="D79" s="10" t="n">
        <v>-27238</v>
      </c>
      <c r="E79" s="10" t="n">
        <v>-683</v>
      </c>
      <c r="F79" s="10" t="n">
        <v>-968</v>
      </c>
      <c r="G79" s="18" t="n">
        <f aca="false">SUM(C79:F79)</f>
        <v>-29636</v>
      </c>
    </row>
    <row r="80" customFormat="false" ht="15" hidden="false" customHeight="false" outlineLevel="0" collapsed="false">
      <c r="B80" s="9" t="s">
        <v>235</v>
      </c>
      <c r="C80" s="10" t="n">
        <v>0</v>
      </c>
      <c r="D80" s="10" t="n">
        <v>0</v>
      </c>
      <c r="E80" s="10" t="n">
        <v>659</v>
      </c>
      <c r="F80" s="10" t="n">
        <v>2017</v>
      </c>
      <c r="G80" s="18" t="n">
        <f aca="false">SUM(C80:F80)</f>
        <v>2676</v>
      </c>
    </row>
    <row r="81" customFormat="false" ht="15" hidden="false" customHeight="false" outlineLevel="0" collapsed="false">
      <c r="B81" s="33" t="s">
        <v>236</v>
      </c>
      <c r="C81" s="13" t="n">
        <f aca="false">SUM(C78:C80)</f>
        <v>-4893</v>
      </c>
      <c r="D81" s="13" t="n">
        <f aca="false">SUM(D78:D80)</f>
        <v>-159259</v>
      </c>
      <c r="E81" s="13" t="n">
        <f aca="false">SUM(E78:E80)</f>
        <v>-1786</v>
      </c>
      <c r="F81" s="13" t="n">
        <f aca="false">SUM(F78:F80)</f>
        <v>-1774</v>
      </c>
      <c r="G81" s="13" t="n">
        <f aca="false">SUM(G78:G80)</f>
        <v>-167712</v>
      </c>
    </row>
    <row r="83" customFormat="false" ht="15" hidden="false" customHeight="false" outlineLevel="0" collapsed="false">
      <c r="B83" s="33" t="s">
        <v>237</v>
      </c>
      <c r="C83" s="13" t="n">
        <f aca="false">C76+C81</f>
        <v>2116</v>
      </c>
      <c r="D83" s="13" t="n">
        <f aca="false">D76+D81</f>
        <v>85113</v>
      </c>
      <c r="E83" s="13" t="n">
        <f aca="false">E76+E81</f>
        <v>1024</v>
      </c>
      <c r="F83" s="13" t="n">
        <f aca="false">F76+F81</f>
        <v>710</v>
      </c>
      <c r="G83" s="13" t="n">
        <f aca="false">G76+G81</f>
        <v>88963</v>
      </c>
    </row>
    <row r="84" customFormat="false" ht="15" hidden="false" customHeight="false" outlineLevel="0" collapsed="false">
      <c r="B84" s="11" t="s">
        <v>245</v>
      </c>
      <c r="G84" s="22" t="n">
        <f aca="false">G83-'Situacion Financiera'!I18</f>
        <v>0</v>
      </c>
    </row>
    <row r="86" customFormat="false" ht="15" hidden="false" customHeight="false" outlineLevel="0" collapsed="false">
      <c r="B86" s="35" t="s">
        <v>240</v>
      </c>
      <c r="C86" s="35"/>
      <c r="D86" s="35"/>
      <c r="E86" s="35"/>
      <c r="F86" s="35"/>
      <c r="G86" s="35"/>
    </row>
    <row r="87" customFormat="false" ht="27.75" hidden="false" customHeight="true" outlineLevel="0" collapsed="false">
      <c r="C87" s="36" t="s">
        <v>242</v>
      </c>
      <c r="D87" s="36" t="s">
        <v>222</v>
      </c>
      <c r="E87" s="36" t="s">
        <v>243</v>
      </c>
      <c r="F87" s="36" t="s">
        <v>244</v>
      </c>
      <c r="G87" s="30" t="s">
        <v>228</v>
      </c>
    </row>
    <row r="88" customFormat="false" ht="15" hidden="false" customHeight="false" outlineLevel="0" collapsed="false">
      <c r="B88" s="6" t="s">
        <v>229</v>
      </c>
      <c r="C88" s="7" t="n">
        <v>7009</v>
      </c>
      <c r="D88" s="7" t="n">
        <v>244372</v>
      </c>
      <c r="E88" s="7" t="n">
        <v>2810</v>
      </c>
      <c r="F88" s="7" t="n">
        <v>2484</v>
      </c>
      <c r="G88" s="32" t="n">
        <f aca="false">SUM(C88:F88)</f>
        <v>256675</v>
      </c>
    </row>
    <row r="89" customFormat="false" ht="15" hidden="false" customHeight="false" outlineLevel="0" collapsed="false">
      <c r="B89" s="9" t="s">
        <v>230</v>
      </c>
      <c r="C89" s="10" t="n">
        <v>0</v>
      </c>
      <c r="D89" s="10" t="n">
        <v>0</v>
      </c>
      <c r="E89" s="10" t="n">
        <v>0</v>
      </c>
      <c r="F89" s="10" t="n">
        <v>2054</v>
      </c>
      <c r="G89" s="18" t="n">
        <f aca="false">SUM(C89:F89)</f>
        <v>2054</v>
      </c>
    </row>
    <row r="90" customFormat="false" ht="15" hidden="false" customHeight="false" outlineLevel="0" collapsed="false">
      <c r="B90" s="9" t="s">
        <v>231</v>
      </c>
      <c r="C90" s="10" t="n">
        <v>0</v>
      </c>
      <c r="D90" s="10" t="n">
        <v>0</v>
      </c>
      <c r="E90" s="10" t="n">
        <v>0</v>
      </c>
      <c r="F90" s="10" t="n">
        <v>0</v>
      </c>
      <c r="G90" s="18" t="n">
        <f aca="false">SUM(C90:F90)</f>
        <v>0</v>
      </c>
    </row>
    <row r="91" customFormat="false" ht="15" hidden="false" customHeight="false" outlineLevel="0" collapsed="false">
      <c r="B91" s="9" t="s">
        <v>232</v>
      </c>
      <c r="C91" s="10" t="n">
        <v>0</v>
      </c>
      <c r="D91" s="10" t="n">
        <v>0</v>
      </c>
      <c r="E91" s="10" t="n">
        <v>-819</v>
      </c>
      <c r="F91" s="10" t="n">
        <v>-1000</v>
      </c>
      <c r="G91" s="18" t="n">
        <f aca="false">SUM(C91:F91)</f>
        <v>-1819</v>
      </c>
    </row>
    <row r="92" customFormat="false" ht="15" hidden="false" customHeight="false" outlineLevel="0" collapsed="false">
      <c r="B92" s="33" t="s">
        <v>233</v>
      </c>
      <c r="C92" s="13" t="n">
        <f aca="false">SUM(C88:C91)</f>
        <v>7009</v>
      </c>
      <c r="D92" s="13" t="n">
        <f aca="false">SUM(D88:D91)</f>
        <v>244372</v>
      </c>
      <c r="E92" s="13" t="n">
        <f aca="false">SUM(E88:E91)</f>
        <v>1991</v>
      </c>
      <c r="F92" s="13" t="n">
        <f aca="false">SUM(F88:F91)</f>
        <v>3538</v>
      </c>
      <c r="G92" s="13" t="n">
        <f aca="false">SUM(G88:G91)</f>
        <v>256910</v>
      </c>
    </row>
    <row r="94" customFormat="false" ht="15" hidden="false" customHeight="false" outlineLevel="0" collapsed="false">
      <c r="B94" s="6" t="s">
        <v>229</v>
      </c>
      <c r="C94" s="7" t="n">
        <v>-4893</v>
      </c>
      <c r="D94" s="7" t="n">
        <v>-159259</v>
      </c>
      <c r="E94" s="7" t="n">
        <v>-1786</v>
      </c>
      <c r="F94" s="7" t="n">
        <v>-1774</v>
      </c>
      <c r="G94" s="32" t="n">
        <f aca="false">SUM(C94:F94)</f>
        <v>-167712</v>
      </c>
    </row>
    <row r="95" customFormat="false" ht="15" hidden="false" customHeight="false" outlineLevel="0" collapsed="false">
      <c r="B95" s="9" t="s">
        <v>234</v>
      </c>
      <c r="C95" s="10" t="n">
        <v>-373</v>
      </c>
      <c r="D95" s="10" t="n">
        <v>-13619</v>
      </c>
      <c r="E95" s="10" t="n">
        <v>-240</v>
      </c>
      <c r="F95" s="10" t="n">
        <v>-870</v>
      </c>
      <c r="G95" s="18" t="n">
        <f aca="false">SUM(C95:F95)</f>
        <v>-15102</v>
      </c>
    </row>
    <row r="96" customFormat="false" ht="15" hidden="false" customHeight="false" outlineLevel="0" collapsed="false">
      <c r="B96" s="9" t="s">
        <v>235</v>
      </c>
      <c r="C96" s="10" t="n">
        <v>0</v>
      </c>
      <c r="D96" s="10" t="n">
        <v>0</v>
      </c>
      <c r="E96" s="10" t="n">
        <v>819</v>
      </c>
      <c r="F96" s="10" t="n">
        <v>1000</v>
      </c>
      <c r="G96" s="18" t="n">
        <f aca="false">SUM(C96:F96)</f>
        <v>1819</v>
      </c>
    </row>
    <row r="97" customFormat="false" ht="15" hidden="false" customHeight="false" outlineLevel="0" collapsed="false">
      <c r="B97" s="33" t="s">
        <v>236</v>
      </c>
      <c r="C97" s="13" t="n">
        <f aca="false">SUM(C94:C96)</f>
        <v>-5266</v>
      </c>
      <c r="D97" s="13" t="n">
        <f aca="false">SUM(D94:D96)</f>
        <v>-172878</v>
      </c>
      <c r="E97" s="13" t="n">
        <f aca="false">SUM(E94:E96)</f>
        <v>-1207</v>
      </c>
      <c r="F97" s="13" t="n">
        <f aca="false">SUM(F94:F96)</f>
        <v>-1644</v>
      </c>
      <c r="G97" s="13" t="n">
        <f aca="false">SUM(G94:G96)</f>
        <v>-180995</v>
      </c>
    </row>
    <row r="99" customFormat="false" ht="15" hidden="false" customHeight="false" outlineLevel="0" collapsed="false">
      <c r="B99" s="33" t="s">
        <v>237</v>
      </c>
      <c r="C99" s="13" t="n">
        <f aca="false">C92+C97</f>
        <v>1743</v>
      </c>
      <c r="D99" s="13" t="n">
        <f aca="false">D92+D97</f>
        <v>71494</v>
      </c>
      <c r="E99" s="13" t="n">
        <f aca="false">E92+E97</f>
        <v>784</v>
      </c>
      <c r="F99" s="13" t="n">
        <f aca="false">F92+F97</f>
        <v>1894</v>
      </c>
      <c r="G99" s="13" t="n">
        <f aca="false">G92+G97</f>
        <v>75915</v>
      </c>
    </row>
    <row r="100" customFormat="false" ht="15" hidden="false" customHeight="false" outlineLevel="0" collapsed="false">
      <c r="B100" s="11" t="s">
        <v>245</v>
      </c>
      <c r="G100" s="22" t="n">
        <f aca="false">G99-'Situacion Financiera'!K18</f>
        <v>0</v>
      </c>
    </row>
    <row r="102" customFormat="false" ht="15" hidden="false" customHeight="false" outlineLevel="0" collapsed="false">
      <c r="B102" s="5" t="s">
        <v>246</v>
      </c>
      <c r="C102" s="5"/>
      <c r="D102" s="5"/>
      <c r="E102" s="5"/>
      <c r="F102" s="5"/>
      <c r="G102" s="5"/>
      <c r="H102" s="5"/>
      <c r="I102" s="5"/>
      <c r="J102" s="5"/>
      <c r="K102" s="5"/>
      <c r="L102" s="5"/>
      <c r="M102" s="5"/>
      <c r="N102" s="5"/>
      <c r="O102" s="5"/>
      <c r="P102" s="5"/>
      <c r="Q102" s="5"/>
    </row>
    <row r="103" customFormat="false" ht="15" hidden="false" customHeight="false" outlineLevel="0" collapsed="false">
      <c r="B103" s="35" t="s">
        <v>219</v>
      </c>
      <c r="C103" s="35"/>
      <c r="D103" s="35"/>
      <c r="E103" s="35"/>
      <c r="F103" s="35"/>
      <c r="G103" s="35"/>
    </row>
    <row r="104" customFormat="false" ht="27.75" hidden="false" customHeight="true" outlineLevel="0" collapsed="false">
      <c r="C104" s="36" t="s">
        <v>247</v>
      </c>
      <c r="D104" s="36" t="s">
        <v>248</v>
      </c>
      <c r="E104" s="36" t="s">
        <v>249</v>
      </c>
      <c r="F104" s="36" t="s">
        <v>250</v>
      </c>
      <c r="G104" s="30" t="s">
        <v>228</v>
      </c>
    </row>
    <row r="105" customFormat="false" ht="15" hidden="false" customHeight="false" outlineLevel="0" collapsed="false">
      <c r="B105" s="6" t="s">
        <v>229</v>
      </c>
      <c r="C105" s="7" t="n">
        <v>3368</v>
      </c>
      <c r="D105" s="7" t="n">
        <v>3074</v>
      </c>
      <c r="E105" s="7" t="n">
        <v>22511</v>
      </c>
      <c r="F105" s="7" t="n">
        <v>540</v>
      </c>
      <c r="G105" s="32" t="n">
        <f aca="false">SUM(C105:F105)</f>
        <v>29493</v>
      </c>
    </row>
    <row r="106" customFormat="false" ht="15" hidden="false" customHeight="false" outlineLevel="0" collapsed="false">
      <c r="B106" s="9" t="s">
        <v>230</v>
      </c>
      <c r="C106" s="10" t="n">
        <v>87</v>
      </c>
      <c r="D106" s="10" t="n">
        <v>3331</v>
      </c>
      <c r="E106" s="10" t="n">
        <v>20</v>
      </c>
      <c r="F106" s="10" t="n">
        <v>3881</v>
      </c>
      <c r="G106" s="18" t="n">
        <f aca="false">SUM(C106:F106)</f>
        <v>7319</v>
      </c>
    </row>
    <row r="107" customFormat="false" ht="15" hidden="false" customHeight="false" outlineLevel="0" collapsed="false">
      <c r="B107" s="9" t="s">
        <v>231</v>
      </c>
      <c r="C107" s="10" t="n">
        <v>0</v>
      </c>
      <c r="D107" s="10" t="n">
        <v>0</v>
      </c>
      <c r="E107" s="10" t="n">
        <v>353</v>
      </c>
      <c r="F107" s="10" t="n">
        <v>-353</v>
      </c>
      <c r="G107" s="18" t="n">
        <f aca="false">SUM(C107:F107)</f>
        <v>0</v>
      </c>
    </row>
    <row r="108" customFormat="false" ht="15" hidden="false" customHeight="false" outlineLevel="0" collapsed="false">
      <c r="B108" s="9" t="s">
        <v>232</v>
      </c>
      <c r="C108" s="10" t="n">
        <v>0</v>
      </c>
      <c r="D108" s="10" t="n">
        <v>0</v>
      </c>
      <c r="E108" s="10" t="n">
        <v>0</v>
      </c>
      <c r="F108" s="10" t="n">
        <v>0</v>
      </c>
      <c r="G108" s="18" t="n">
        <f aca="false">SUM(C108:F108)</f>
        <v>0</v>
      </c>
    </row>
    <row r="109" customFormat="false" ht="15" hidden="false" customHeight="false" outlineLevel="0" collapsed="false">
      <c r="B109" s="33" t="s">
        <v>233</v>
      </c>
      <c r="C109" s="13" t="n">
        <f aca="false">SUM(C105:C108)</f>
        <v>3455</v>
      </c>
      <c r="D109" s="13" t="n">
        <f aca="false">SUM(D105:D108)</f>
        <v>6405</v>
      </c>
      <c r="E109" s="13" t="n">
        <f aca="false">SUM(E105:E108)</f>
        <v>22884</v>
      </c>
      <c r="F109" s="13" t="n">
        <f aca="false">SUM(F105:F108)</f>
        <v>4068</v>
      </c>
      <c r="G109" s="13" t="n">
        <f aca="false">SUM(G105:G108)</f>
        <v>36812</v>
      </c>
    </row>
    <row r="111" customFormat="false" ht="15" hidden="false" customHeight="false" outlineLevel="0" collapsed="false">
      <c r="B111" s="6" t="s">
        <v>229</v>
      </c>
      <c r="C111" s="7" t="n">
        <v>-1969</v>
      </c>
      <c r="D111" s="7" t="n">
        <v>-2980</v>
      </c>
      <c r="E111" s="7" t="n">
        <v>-15697</v>
      </c>
      <c r="F111" s="7" t="n">
        <v>0</v>
      </c>
      <c r="G111" s="32" t="n">
        <f aca="false">SUM(C111:F111)</f>
        <v>-20646</v>
      </c>
    </row>
    <row r="112" customFormat="false" ht="15" hidden="false" customHeight="false" outlineLevel="0" collapsed="false">
      <c r="B112" s="9" t="s">
        <v>234</v>
      </c>
      <c r="C112" s="10" t="n">
        <v>-269</v>
      </c>
      <c r="D112" s="10" t="n">
        <v>0</v>
      </c>
      <c r="E112" s="10" t="n">
        <v>-1009</v>
      </c>
      <c r="F112" s="10" t="n">
        <v>0</v>
      </c>
      <c r="G112" s="18" t="n">
        <f aca="false">SUM(C112:F112)</f>
        <v>-1278</v>
      </c>
    </row>
    <row r="113" customFormat="false" ht="15" hidden="false" customHeight="false" outlineLevel="0" collapsed="false">
      <c r="B113" s="33" t="s">
        <v>236</v>
      </c>
      <c r="C113" s="13" t="n">
        <f aca="false">SUM(C111:C112)</f>
        <v>-2238</v>
      </c>
      <c r="D113" s="13" t="n">
        <f aca="false">SUM(D111:D112)</f>
        <v>-2980</v>
      </c>
      <c r="E113" s="13" t="n">
        <f aca="false">SUM(E111:E112)</f>
        <v>-16706</v>
      </c>
      <c r="F113" s="13" t="n">
        <f aca="false">SUM(F111:F112)</f>
        <v>0</v>
      </c>
      <c r="G113" s="13" t="n">
        <f aca="false">SUM(G111:G112)</f>
        <v>-21924</v>
      </c>
    </row>
    <row r="115" customFormat="false" ht="15" hidden="false" customHeight="false" outlineLevel="0" collapsed="false">
      <c r="B115" s="33" t="s">
        <v>237</v>
      </c>
      <c r="C115" s="13" t="n">
        <f aca="false">C109+C113</f>
        <v>1217</v>
      </c>
      <c r="D115" s="13" t="n">
        <f aca="false">D109+D113</f>
        <v>3425</v>
      </c>
      <c r="E115" s="13" t="n">
        <f aca="false">E109+E113</f>
        <v>6178</v>
      </c>
      <c r="F115" s="13" t="n">
        <f aca="false">F109+F113</f>
        <v>4068</v>
      </c>
      <c r="G115" s="13" t="n">
        <f aca="false">G109+G113</f>
        <v>14888</v>
      </c>
    </row>
    <row r="116" customFormat="false" ht="15" hidden="false" customHeight="false" outlineLevel="0" collapsed="false">
      <c r="B116" s="11" t="s">
        <v>251</v>
      </c>
      <c r="G116" s="22" t="n">
        <f aca="false">G115-'Situacion Financiera'!E19</f>
        <v>0</v>
      </c>
    </row>
    <row r="118" customFormat="false" ht="15" hidden="false" customHeight="false" outlineLevel="0" collapsed="false">
      <c r="B118" s="35" t="s">
        <v>239</v>
      </c>
      <c r="C118" s="35"/>
      <c r="D118" s="35"/>
      <c r="E118" s="35"/>
      <c r="F118" s="35"/>
      <c r="G118" s="35"/>
    </row>
    <row r="119" customFormat="false" ht="27.75" hidden="false" customHeight="true" outlineLevel="0" collapsed="false">
      <c r="C119" s="36" t="s">
        <v>247</v>
      </c>
      <c r="D119" s="36" t="s">
        <v>248</v>
      </c>
      <c r="E119" s="36" t="s">
        <v>249</v>
      </c>
      <c r="F119" s="36" t="s">
        <v>250</v>
      </c>
      <c r="G119" s="30" t="s">
        <v>228</v>
      </c>
    </row>
    <row r="120" customFormat="false" ht="15" hidden="false" customHeight="false" outlineLevel="0" collapsed="false">
      <c r="B120" s="6" t="s">
        <v>229</v>
      </c>
      <c r="C120" s="7" t="n">
        <v>3455</v>
      </c>
      <c r="D120" s="7" t="n">
        <v>6405</v>
      </c>
      <c r="E120" s="7" t="n">
        <v>22884</v>
      </c>
      <c r="F120" s="7" t="n">
        <v>4068</v>
      </c>
      <c r="G120" s="32" t="n">
        <f aca="false">SUM(C120:F120)</f>
        <v>36812</v>
      </c>
    </row>
    <row r="121" customFormat="false" ht="15" hidden="false" customHeight="false" outlineLevel="0" collapsed="false">
      <c r="B121" s="9" t="s">
        <v>230</v>
      </c>
      <c r="C121" s="10" t="n">
        <v>107</v>
      </c>
      <c r="D121" s="10" t="n">
        <v>1020</v>
      </c>
      <c r="E121" s="10" t="n">
        <v>0</v>
      </c>
      <c r="F121" s="10" t="n">
        <v>1108</v>
      </c>
      <c r="G121" s="18" t="n">
        <f aca="false">SUM(C121:F121)</f>
        <v>2235</v>
      </c>
    </row>
    <row r="122" customFormat="false" ht="15" hidden="false" customHeight="false" outlineLevel="0" collapsed="false">
      <c r="B122" s="9" t="s">
        <v>231</v>
      </c>
      <c r="C122" s="10" t="n">
        <v>0</v>
      </c>
      <c r="D122" s="10" t="n">
        <v>0</v>
      </c>
      <c r="E122" s="10" t="n">
        <v>4492</v>
      </c>
      <c r="F122" s="10" t="n">
        <v>-4492</v>
      </c>
      <c r="G122" s="18" t="n">
        <f aca="false">SUM(C122:F122)</f>
        <v>0</v>
      </c>
    </row>
    <row r="123" customFormat="false" ht="15" hidden="false" customHeight="false" outlineLevel="0" collapsed="false">
      <c r="B123" s="9" t="s">
        <v>232</v>
      </c>
      <c r="C123" s="10" t="n">
        <v>0</v>
      </c>
      <c r="D123" s="10" t="n">
        <v>0</v>
      </c>
      <c r="E123" s="10" t="n">
        <v>0</v>
      </c>
      <c r="F123" s="10" t="n">
        <v>0</v>
      </c>
      <c r="G123" s="18" t="n">
        <f aca="false">SUM(C123:F123)</f>
        <v>0</v>
      </c>
    </row>
    <row r="124" customFormat="false" ht="15" hidden="false" customHeight="false" outlineLevel="0" collapsed="false">
      <c r="B124" s="33" t="s">
        <v>233</v>
      </c>
      <c r="C124" s="13" t="n">
        <f aca="false">SUM(C120:C123)</f>
        <v>3562</v>
      </c>
      <c r="D124" s="13" t="n">
        <f aca="false">SUM(D120:D123)</f>
        <v>7425</v>
      </c>
      <c r="E124" s="13" t="n">
        <f aca="false">SUM(E120:E123)</f>
        <v>27376</v>
      </c>
      <c r="F124" s="13" t="n">
        <f aca="false">SUM(F120:F123)</f>
        <v>684</v>
      </c>
      <c r="G124" s="13" t="n">
        <f aca="false">SUM(G120:G123)</f>
        <v>39047</v>
      </c>
    </row>
    <row r="126" customFormat="false" ht="15" hidden="false" customHeight="false" outlineLevel="0" collapsed="false">
      <c r="B126" s="6" t="s">
        <v>229</v>
      </c>
      <c r="C126" s="7" t="n">
        <v>-2238</v>
      </c>
      <c r="D126" s="7" t="n">
        <v>-2980</v>
      </c>
      <c r="E126" s="7" t="n">
        <v>-16706</v>
      </c>
      <c r="F126" s="7" t="n">
        <v>0</v>
      </c>
      <c r="G126" s="32" t="n">
        <f aca="false">SUM(C126:F126)</f>
        <v>-21924</v>
      </c>
    </row>
    <row r="127" customFormat="false" ht="15" hidden="false" customHeight="false" outlineLevel="0" collapsed="false">
      <c r="B127" s="9" t="s">
        <v>234</v>
      </c>
      <c r="C127" s="10" t="n">
        <v>-257</v>
      </c>
      <c r="D127" s="10" t="n">
        <v>0</v>
      </c>
      <c r="E127" s="10" t="n">
        <v>-1578</v>
      </c>
      <c r="F127" s="10" t="n">
        <v>0</v>
      </c>
      <c r="G127" s="18" t="n">
        <f aca="false">SUM(C127:F127)</f>
        <v>-1835</v>
      </c>
    </row>
    <row r="128" customFormat="false" ht="15" hidden="false" customHeight="false" outlineLevel="0" collapsed="false">
      <c r="B128" s="33" t="s">
        <v>236</v>
      </c>
      <c r="C128" s="13" t="n">
        <f aca="false">SUM(C126:C127)</f>
        <v>-2495</v>
      </c>
      <c r="D128" s="13" t="n">
        <f aca="false">SUM(D126:D127)</f>
        <v>-2980</v>
      </c>
      <c r="E128" s="13" t="n">
        <f aca="false">SUM(E126:E127)</f>
        <v>-18284</v>
      </c>
      <c r="F128" s="13" t="n">
        <f aca="false">SUM(F126:F127)</f>
        <v>0</v>
      </c>
      <c r="G128" s="13" t="n">
        <f aca="false">SUM(G126:G127)</f>
        <v>-23759</v>
      </c>
    </row>
    <row r="130" customFormat="false" ht="15" hidden="false" customHeight="false" outlineLevel="0" collapsed="false">
      <c r="B130" s="33" t="s">
        <v>237</v>
      </c>
      <c r="C130" s="13" t="n">
        <f aca="false">C124+C128</f>
        <v>1067</v>
      </c>
      <c r="D130" s="13" t="n">
        <f aca="false">D124+D128</f>
        <v>4445</v>
      </c>
      <c r="E130" s="13" t="n">
        <f aca="false">E124+E128</f>
        <v>9092</v>
      </c>
      <c r="F130" s="13" t="n">
        <f aca="false">F124+F128</f>
        <v>684</v>
      </c>
      <c r="G130" s="13" t="n">
        <f aca="false">G124+G128</f>
        <v>15288</v>
      </c>
    </row>
    <row r="131" customFormat="false" ht="15" hidden="false" customHeight="false" outlineLevel="0" collapsed="false">
      <c r="B131" s="11" t="s">
        <v>251</v>
      </c>
      <c r="G131" s="22" t="n">
        <f aca="false">G130-'Situacion Financiera'!I19</f>
        <v>0</v>
      </c>
    </row>
    <row r="133" customFormat="false" ht="15" hidden="false" customHeight="false" outlineLevel="0" collapsed="false">
      <c r="B133" s="35" t="s">
        <v>240</v>
      </c>
      <c r="C133" s="35"/>
      <c r="D133" s="35"/>
      <c r="E133" s="35"/>
      <c r="F133" s="35"/>
      <c r="G133" s="35"/>
    </row>
    <row r="134" customFormat="false" ht="27.75" hidden="false" customHeight="true" outlineLevel="0" collapsed="false">
      <c r="C134" s="36" t="s">
        <v>247</v>
      </c>
      <c r="D134" s="36" t="s">
        <v>248</v>
      </c>
      <c r="E134" s="36" t="s">
        <v>249</v>
      </c>
      <c r="F134" s="36" t="s">
        <v>250</v>
      </c>
      <c r="G134" s="30" t="s">
        <v>228</v>
      </c>
    </row>
    <row r="135" customFormat="false" ht="15" hidden="false" customHeight="false" outlineLevel="0" collapsed="false">
      <c r="B135" s="6" t="s">
        <v>229</v>
      </c>
      <c r="C135" s="7" t="n">
        <v>3562</v>
      </c>
      <c r="D135" s="7" t="n">
        <v>7425</v>
      </c>
      <c r="E135" s="7" t="n">
        <v>27376</v>
      </c>
      <c r="F135" s="7" t="n">
        <v>684</v>
      </c>
      <c r="G135" s="32" t="n">
        <f aca="false">SUM(C135:F135)</f>
        <v>39047</v>
      </c>
    </row>
    <row r="136" customFormat="false" ht="15" hidden="false" customHeight="false" outlineLevel="0" collapsed="false">
      <c r="B136" s="9" t="s">
        <v>230</v>
      </c>
      <c r="C136" s="10" t="n">
        <v>0</v>
      </c>
      <c r="D136" s="10" t="n">
        <v>1472</v>
      </c>
      <c r="E136" s="10" t="n">
        <v>0</v>
      </c>
      <c r="F136" s="10" t="n">
        <v>996</v>
      </c>
      <c r="G136" s="18" t="n">
        <f aca="false">SUM(C136:F136)</f>
        <v>2468</v>
      </c>
    </row>
    <row r="137" customFormat="false" ht="15" hidden="false" customHeight="false" outlineLevel="0" collapsed="false">
      <c r="B137" s="9" t="s">
        <v>231</v>
      </c>
      <c r="C137" s="10" t="n">
        <v>0</v>
      </c>
      <c r="D137" s="10" t="n">
        <v>0</v>
      </c>
      <c r="E137" s="10" t="n">
        <v>0</v>
      </c>
      <c r="F137" s="10" t="n">
        <v>0</v>
      </c>
      <c r="G137" s="18" t="n">
        <f aca="false">SUM(C137:F137)</f>
        <v>0</v>
      </c>
    </row>
    <row r="138" customFormat="false" ht="15" hidden="false" customHeight="false" outlineLevel="0" collapsed="false">
      <c r="B138" s="9" t="s">
        <v>232</v>
      </c>
      <c r="C138" s="10" t="n">
        <v>0</v>
      </c>
      <c r="D138" s="10" t="n">
        <v>0</v>
      </c>
      <c r="E138" s="10" t="n">
        <v>0</v>
      </c>
      <c r="F138" s="10" t="n">
        <v>0</v>
      </c>
      <c r="G138" s="18" t="n">
        <f aca="false">SUM(C138:F138)</f>
        <v>0</v>
      </c>
    </row>
    <row r="139" customFormat="false" ht="15" hidden="false" customHeight="false" outlineLevel="0" collapsed="false">
      <c r="B139" s="33" t="s">
        <v>233</v>
      </c>
      <c r="C139" s="13" t="n">
        <f aca="false">SUM(C135:C138)</f>
        <v>3562</v>
      </c>
      <c r="D139" s="13" t="n">
        <f aca="false">SUM(D135:D138)</f>
        <v>8897</v>
      </c>
      <c r="E139" s="13" t="n">
        <f aca="false">SUM(E135:E138)</f>
        <v>27376</v>
      </c>
      <c r="F139" s="13" t="n">
        <f aca="false">SUM(F135:F138)</f>
        <v>1680</v>
      </c>
      <c r="G139" s="13" t="n">
        <f aca="false">SUM(G135:G138)</f>
        <v>41515</v>
      </c>
    </row>
    <row r="141" customFormat="false" ht="15" hidden="false" customHeight="false" outlineLevel="0" collapsed="false">
      <c r="B141" s="6" t="s">
        <v>229</v>
      </c>
      <c r="C141" s="7" t="n">
        <v>-2495</v>
      </c>
      <c r="D141" s="7" t="n">
        <v>-2980</v>
      </c>
      <c r="E141" s="7" t="n">
        <v>-18284</v>
      </c>
      <c r="F141" s="7" t="n">
        <v>0</v>
      </c>
      <c r="G141" s="32" t="n">
        <f aca="false">SUM(C141:F141)</f>
        <v>-23759</v>
      </c>
    </row>
    <row r="142" customFormat="false" ht="15" hidden="false" customHeight="false" outlineLevel="0" collapsed="false">
      <c r="B142" s="9" t="s">
        <v>234</v>
      </c>
      <c r="C142" s="10" t="n">
        <v>-115</v>
      </c>
      <c r="D142" s="10" t="n">
        <v>-35</v>
      </c>
      <c r="E142" s="10" t="n">
        <v>-919</v>
      </c>
      <c r="F142" s="10" t="n">
        <v>0</v>
      </c>
      <c r="G142" s="18" t="n">
        <f aca="false">SUM(C142:F142)</f>
        <v>-1069</v>
      </c>
    </row>
    <row r="143" customFormat="false" ht="15" hidden="false" customHeight="false" outlineLevel="0" collapsed="false">
      <c r="B143" s="33" t="s">
        <v>236</v>
      </c>
      <c r="C143" s="13" t="n">
        <f aca="false">SUM(C141:C142)</f>
        <v>-2610</v>
      </c>
      <c r="D143" s="13" t="n">
        <f aca="false">SUM(D141:D142)</f>
        <v>-3015</v>
      </c>
      <c r="E143" s="13" t="n">
        <f aca="false">SUM(E141:E142)</f>
        <v>-19203</v>
      </c>
      <c r="F143" s="13" t="n">
        <f aca="false">SUM(F141:F142)</f>
        <v>0</v>
      </c>
      <c r="G143" s="13" t="n">
        <f aca="false">SUM(G141:G142)</f>
        <v>-24828</v>
      </c>
    </row>
    <row r="145" customFormat="false" ht="15" hidden="false" customHeight="false" outlineLevel="0" collapsed="false">
      <c r="B145" s="33" t="s">
        <v>237</v>
      </c>
      <c r="C145" s="13" t="n">
        <f aca="false">C139+C143</f>
        <v>952</v>
      </c>
      <c r="D145" s="13" t="n">
        <f aca="false">D139+D143</f>
        <v>5882</v>
      </c>
      <c r="E145" s="13" t="n">
        <f aca="false">E139+E143</f>
        <v>8173</v>
      </c>
      <c r="F145" s="13" t="n">
        <f aca="false">F139+F143</f>
        <v>1680</v>
      </c>
      <c r="G145" s="13" t="n">
        <f aca="false">G139+G143</f>
        <v>16687</v>
      </c>
    </row>
    <row r="146" customFormat="false" ht="15" hidden="false" customHeight="false" outlineLevel="0" collapsed="false">
      <c r="B146" s="11" t="s">
        <v>251</v>
      </c>
      <c r="G146" s="22" t="n">
        <f aca="false">G145-'Situacion Financiera'!K19</f>
        <v>0</v>
      </c>
    </row>
    <row r="148" customFormat="false" ht="15" hidden="false" customHeight="false" outlineLevel="0" collapsed="false">
      <c r="B148" s="5" t="s">
        <v>252</v>
      </c>
      <c r="C148" s="5"/>
      <c r="D148" s="5"/>
      <c r="E148" s="5"/>
      <c r="F148" s="5"/>
      <c r="G148" s="5"/>
      <c r="H148" s="5"/>
      <c r="I148" s="5"/>
      <c r="J148" s="5"/>
      <c r="K148" s="5"/>
      <c r="L148" s="5"/>
      <c r="M148" s="5"/>
      <c r="N148" s="5"/>
      <c r="O148" s="5"/>
      <c r="P148" s="5"/>
      <c r="Q148" s="5"/>
    </row>
    <row r="149" customFormat="false" ht="15" hidden="false" customHeight="false" outlineLevel="0" collapsed="false">
      <c r="H149" s="4" t="s">
        <v>5</v>
      </c>
      <c r="I149" s="4" t="s">
        <v>9</v>
      </c>
      <c r="J149" s="4" t="s">
        <v>253</v>
      </c>
    </row>
    <row r="150" customFormat="false" ht="15" hidden="false" customHeight="false" outlineLevel="0" collapsed="false">
      <c r="B150" s="9" t="s">
        <v>254</v>
      </c>
      <c r="H150" s="10" t="n">
        <v>49372</v>
      </c>
      <c r="I150" s="10" t="n">
        <v>55524</v>
      </c>
      <c r="J150" s="10" t="n">
        <v>28311</v>
      </c>
    </row>
    <row r="151" customFormat="false" ht="15" hidden="false" customHeight="false" outlineLevel="0" collapsed="false">
      <c r="B151" s="9" t="s">
        <v>255</v>
      </c>
      <c r="H151" s="10" t="n">
        <v>3462</v>
      </c>
      <c r="I151" s="10" t="n">
        <v>3240</v>
      </c>
      <c r="J151" s="10" t="n">
        <v>2077</v>
      </c>
    </row>
    <row r="152" customFormat="false" ht="15" hidden="false" customHeight="false" outlineLevel="0" collapsed="false">
      <c r="B152" s="9" t="s">
        <v>256</v>
      </c>
      <c r="H152" s="10" t="n">
        <v>533</v>
      </c>
      <c r="I152" s="10" t="n">
        <v>564</v>
      </c>
      <c r="J152" s="10" t="n">
        <v>281</v>
      </c>
    </row>
    <row r="153" customFormat="false" ht="15" hidden="false" customHeight="false" outlineLevel="0" collapsed="false">
      <c r="B153" s="11" t="s">
        <v>257</v>
      </c>
      <c r="H153" s="32" t="n">
        <f aca="false">SUM(H150:H152)</f>
        <v>53367</v>
      </c>
      <c r="I153" s="32" t="n">
        <f aca="false">SUM(I150:I152)</f>
        <v>59328</v>
      </c>
      <c r="J153" s="32" t="n">
        <f aca="false">SUM(J150:J152)</f>
        <v>30669</v>
      </c>
    </row>
    <row r="154" customFormat="false" ht="15" hidden="false" customHeight="false" outlineLevel="0" collapsed="false">
      <c r="B154" s="19" t="s">
        <v>258</v>
      </c>
      <c r="H154" s="22" t="n">
        <f aca="false">'Flujo de Caja'!E11</f>
        <v>53367</v>
      </c>
      <c r="I154" s="22" t="n">
        <f aca="false">'Flujo de Caja'!I11</f>
        <v>59328</v>
      </c>
      <c r="J154" s="22" t="n">
        <f aca="false">'Flujo de Caja'!K11</f>
        <v>30669</v>
      </c>
    </row>
    <row r="155" customFormat="false" ht="15" hidden="false" customHeight="false" outlineLevel="0" collapsed="false">
      <c r="B155" s="11" t="s">
        <v>259</v>
      </c>
      <c r="H155" s="18" t="n">
        <f aca="false">H153-H154</f>
        <v>0</v>
      </c>
      <c r="I155" s="18" t="n">
        <f aca="false">I153-I154</f>
        <v>0</v>
      </c>
      <c r="J155" s="18" t="n">
        <f aca="false">J153-J154</f>
        <v>0</v>
      </c>
    </row>
    <row r="157" customFormat="false" ht="15" hidden="false" customHeight="false" outlineLevel="0" collapsed="false">
      <c r="B157" s="9" t="s">
        <v>260</v>
      </c>
      <c r="H157" s="10" t="n">
        <v>396</v>
      </c>
      <c r="I157" s="10" t="n">
        <v>924</v>
      </c>
      <c r="J157" s="10" t="n">
        <v>599</v>
      </c>
    </row>
    <row r="158" customFormat="false" ht="15" hidden="false" customHeight="false" outlineLevel="0" collapsed="false">
      <c r="B158" s="9" t="s">
        <v>261</v>
      </c>
      <c r="H158" s="10" t="n">
        <v>513</v>
      </c>
      <c r="I158" s="10" t="n">
        <v>542</v>
      </c>
      <c r="J158" s="10" t="n">
        <v>288</v>
      </c>
    </row>
    <row r="159" customFormat="false" ht="15" hidden="false" customHeight="false" outlineLevel="0" collapsed="false">
      <c r="B159" s="9" t="s">
        <v>262</v>
      </c>
      <c r="H159" s="10" t="n">
        <v>361</v>
      </c>
      <c r="I159" s="10" t="n">
        <v>356</v>
      </c>
      <c r="J159" s="10" t="n">
        <v>173</v>
      </c>
    </row>
    <row r="160" customFormat="false" ht="15" hidden="false" customHeight="false" outlineLevel="0" collapsed="false">
      <c r="B160" s="9" t="s">
        <v>263</v>
      </c>
      <c r="H160" s="10" t="n">
        <v>8</v>
      </c>
      <c r="I160" s="10" t="n">
        <v>13</v>
      </c>
      <c r="J160" s="10" t="n">
        <v>9</v>
      </c>
    </row>
    <row r="161" customFormat="false" ht="15" hidden="false" customHeight="false" outlineLevel="0" collapsed="false">
      <c r="B161" s="11" t="s">
        <v>264</v>
      </c>
      <c r="H161" s="32" t="n">
        <f aca="false">SUM(H157:H160)</f>
        <v>1278</v>
      </c>
      <c r="I161" s="32" t="n">
        <f aca="false">SUM(I157:I160)</f>
        <v>1835</v>
      </c>
      <c r="J161" s="32" t="n">
        <f aca="false">SUM(J157:J160)</f>
        <v>1069</v>
      </c>
    </row>
    <row r="162" customFormat="false" ht="15" hidden="false" customHeight="false" outlineLevel="0" collapsed="false">
      <c r="B162" s="19" t="s">
        <v>265</v>
      </c>
      <c r="H162" s="22" t="n">
        <f aca="false">'Flujo de Caja'!E12</f>
        <v>1278</v>
      </c>
      <c r="I162" s="22" t="n">
        <f aca="false">'Flujo de Caja'!I12</f>
        <v>1835</v>
      </c>
      <c r="J162" s="22" t="n">
        <f aca="false">'Flujo de Caja'!K12</f>
        <v>1069</v>
      </c>
    </row>
    <row r="163" customFormat="false" ht="15" hidden="false" customHeight="false" outlineLevel="0" collapsed="false">
      <c r="B163" s="11" t="s">
        <v>259</v>
      </c>
      <c r="H163" s="18" t="n">
        <f aca="false">H161-H162</f>
        <v>0</v>
      </c>
      <c r="I163" s="18" t="n">
        <f aca="false">I161-I162</f>
        <v>0</v>
      </c>
      <c r="J163" s="18" t="n">
        <f aca="false">J161-J162</f>
        <v>0</v>
      </c>
    </row>
  </sheetData>
  <mergeCells count="15">
    <mergeCell ref="B1:K1"/>
    <mergeCell ref="B2:K2"/>
    <mergeCell ref="B4:Q4"/>
    <mergeCell ref="B5:K5"/>
    <mergeCell ref="B21:K21"/>
    <mergeCell ref="B37:K37"/>
    <mergeCell ref="B53:Q53"/>
    <mergeCell ref="B54:G54"/>
    <mergeCell ref="B70:G70"/>
    <mergeCell ref="B86:G86"/>
    <mergeCell ref="B102:Q102"/>
    <mergeCell ref="B103:G103"/>
    <mergeCell ref="B118:G118"/>
    <mergeCell ref="B133:G133"/>
    <mergeCell ref="B148:Q1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Q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17" min="3" style="0" width="13"/>
  </cols>
  <sheetData>
    <row r="1" customFormat="false" ht="21.75" hidden="false" customHeight="true" outlineLevel="0" collapsed="false">
      <c r="B1" s="1" t="s">
        <v>266</v>
      </c>
      <c r="C1" s="1"/>
      <c r="D1" s="1"/>
      <c r="E1" s="1"/>
      <c r="F1" s="1"/>
      <c r="G1" s="1"/>
      <c r="H1" s="1"/>
      <c r="I1" s="1"/>
      <c r="J1" s="1"/>
      <c r="K1" s="1"/>
      <c r="L1" s="1"/>
      <c r="M1" s="1"/>
      <c r="N1" s="1"/>
      <c r="O1" s="1"/>
      <c r="P1" s="1"/>
      <c r="Q1" s="1"/>
    </row>
    <row r="2" customFormat="false" ht="15" hidden="false" customHeight="false" outlineLevel="0" collapsed="false">
      <c r="B2" s="2" t="s">
        <v>267</v>
      </c>
      <c r="C2" s="2"/>
      <c r="D2" s="2"/>
      <c r="E2" s="2"/>
      <c r="F2" s="2"/>
      <c r="G2" s="2"/>
      <c r="H2" s="2"/>
      <c r="I2" s="2"/>
      <c r="J2" s="2"/>
      <c r="K2" s="2"/>
      <c r="L2" s="2"/>
      <c r="M2" s="2"/>
      <c r="N2" s="2"/>
      <c r="O2" s="2"/>
      <c r="P2" s="2"/>
      <c r="Q2" s="2"/>
    </row>
    <row r="4" customFormat="false" ht="15.75" hidden="false" customHeight="true" outlineLevel="0" collapsed="false">
      <c r="B4" s="3" t="s">
        <v>2</v>
      </c>
      <c r="C4" s="4" t="s">
        <v>3</v>
      </c>
      <c r="D4" s="4" t="s">
        <v>4</v>
      </c>
      <c r="E4" s="4" t="s">
        <v>5</v>
      </c>
      <c r="F4" s="4" t="s">
        <v>6</v>
      </c>
      <c r="G4" s="4" t="s">
        <v>7</v>
      </c>
      <c r="H4" s="4" t="s">
        <v>8</v>
      </c>
      <c r="I4" s="4" t="s">
        <v>9</v>
      </c>
      <c r="J4" s="4" t="s">
        <v>10</v>
      </c>
      <c r="K4" s="4" t="s">
        <v>11</v>
      </c>
      <c r="L4" s="4" t="s">
        <v>12</v>
      </c>
      <c r="M4" s="4" t="s">
        <v>13</v>
      </c>
      <c r="N4" s="4" t="s">
        <v>14</v>
      </c>
      <c r="O4" s="4" t="s">
        <v>15</v>
      </c>
      <c r="P4" s="4" t="s">
        <v>16</v>
      </c>
      <c r="Q4" s="4" t="s">
        <v>17</v>
      </c>
    </row>
    <row r="6" customFormat="false" ht="15" hidden="false" customHeight="false" outlineLevel="0" collapsed="false">
      <c r="B6" s="5" t="s">
        <v>268</v>
      </c>
      <c r="C6" s="5"/>
      <c r="D6" s="5"/>
      <c r="E6" s="5"/>
      <c r="F6" s="5"/>
      <c r="G6" s="5"/>
      <c r="H6" s="5"/>
      <c r="I6" s="5"/>
      <c r="J6" s="5"/>
      <c r="K6" s="5"/>
      <c r="L6" s="5"/>
      <c r="M6" s="5"/>
      <c r="N6" s="5"/>
      <c r="O6" s="5"/>
      <c r="P6" s="5"/>
      <c r="Q6" s="5"/>
    </row>
    <row r="7" customFormat="false" ht="15" hidden="false" customHeight="false" outlineLevel="0" collapsed="false">
      <c r="B7" s="21" t="s">
        <v>269</v>
      </c>
      <c r="C7" s="37" t="n">
        <f aca="false">IFERROR('Situacion Financiera'!C12/'Situacion Financiera'!C33,"")</f>
        <v>1.09749486708633</v>
      </c>
      <c r="D7" s="37" t="n">
        <f aca="false">IFERROR('Situacion Financiera'!D12/'Situacion Financiera'!D33,"")</f>
        <v>0.664330926169366</v>
      </c>
      <c r="E7" s="37" t="n">
        <f aca="false">IFERROR('Situacion Financiera'!E12/'Situacion Financiera'!E33,"")</f>
        <v>0.519343270200605</v>
      </c>
      <c r="F7" s="37" t="n">
        <f aca="false">IFERROR('Situacion Financiera'!F12/'Situacion Financiera'!F33,"")</f>
        <v>0.499992931613359</v>
      </c>
      <c r="G7" s="37" t="n">
        <f aca="false">IFERROR('Situacion Financiera'!G12/'Situacion Financiera'!G33,"")</f>
        <v>0.467138106999935</v>
      </c>
      <c r="H7" s="37" t="n">
        <f aca="false">IFERROR('Situacion Financiera'!H12/'Situacion Financiera'!H33,"")</f>
        <v>0.405897420734345</v>
      </c>
      <c r="I7" s="37" t="n">
        <f aca="false">IFERROR('Situacion Financiera'!I12/'Situacion Financiera'!I33,"")</f>
        <v>0.519152013314292</v>
      </c>
      <c r="J7" s="37" t="n">
        <f aca="false">IFERROR('Situacion Financiera'!J12/'Situacion Financiera'!J33,"")</f>
        <v>0.475495835928182</v>
      </c>
      <c r="K7" s="37" t="n">
        <f aca="false">IFERROR('Situacion Financiera'!K12/'Situacion Financiera'!K33,"")</f>
        <v>0.34611964820721</v>
      </c>
      <c r="L7" s="37" t="str">
        <f aca="false">IFERROR('Situacion Financiera'!L12/'Situacion Financiera'!L33,"")</f>
        <v/>
      </c>
      <c r="M7" s="37" t="str">
        <f aca="false">IFERROR('Situacion Financiera'!M12/'Situacion Financiera'!M33,"")</f>
        <v/>
      </c>
      <c r="N7" s="37" t="str">
        <f aca="false">IFERROR('Situacion Financiera'!N12/'Situacion Financiera'!N33,"")</f>
        <v/>
      </c>
      <c r="O7" s="37" t="str">
        <f aca="false">IFERROR('Situacion Financiera'!O12/'Situacion Financiera'!O33,"")</f>
        <v/>
      </c>
      <c r="P7" s="37" t="str">
        <f aca="false">IFERROR('Situacion Financiera'!P12/'Situacion Financiera'!P33,"")</f>
        <v/>
      </c>
      <c r="Q7" s="37" t="str">
        <f aca="false">IFERROR('Situacion Financiera'!Q12/'Situacion Financiera'!Q33,"")</f>
        <v/>
      </c>
    </row>
    <row r="8" customFormat="false" ht="15" hidden="false" customHeight="false" outlineLevel="0" collapsed="false">
      <c r="B8" s="21" t="s">
        <v>270</v>
      </c>
      <c r="C8" s="37" t="n">
        <f aca="false">IFERROR(('Situacion Financiera'!C6+'Situacion Financiera'!C7)/'Situacion Financiera'!C33,"")</f>
        <v>0.719238092656715</v>
      </c>
      <c r="D8" s="37" t="n">
        <f aca="false">IFERROR(('Situacion Financiera'!D6+'Situacion Financiera'!D7)/'Situacion Financiera'!D33,"")</f>
        <v>0.580904452770748</v>
      </c>
      <c r="E8" s="37" t="n">
        <f aca="false">IFERROR(('Situacion Financiera'!E6+'Situacion Financiera'!E7)/'Situacion Financiera'!E33,"")</f>
        <v>0.360726960289888</v>
      </c>
      <c r="F8" s="37" t="n">
        <f aca="false">IFERROR(('Situacion Financiera'!F6+'Situacion Financiera'!F7)/'Situacion Financiera'!F33,"")</f>
        <v>0.34980738646404</v>
      </c>
      <c r="G8" s="37" t="n">
        <f aca="false">IFERROR(('Situacion Financiera'!G6+'Situacion Financiera'!G7)/'Situacion Financiera'!G33,"")</f>
        <v>0.332857586672531</v>
      </c>
      <c r="H8" s="37" t="n">
        <f aca="false">IFERROR(('Situacion Financiera'!H6+'Situacion Financiera'!H7)/'Situacion Financiera'!H33,"")</f>
        <v>0.302863741195731</v>
      </c>
      <c r="I8" s="37" t="n">
        <f aca="false">IFERROR(('Situacion Financiera'!I6+'Situacion Financiera'!I7)/'Situacion Financiera'!I33,"")</f>
        <v>0.387753322213864</v>
      </c>
      <c r="J8" s="37" t="n">
        <f aca="false">IFERROR(('Situacion Financiera'!J6+'Situacion Financiera'!J7)/'Situacion Financiera'!J33,"")</f>
        <v>0.353040106679052</v>
      </c>
      <c r="K8" s="37" t="n">
        <f aca="false">IFERROR(('Situacion Financiera'!K6+'Situacion Financiera'!K7)/'Situacion Financiera'!K33,"")</f>
        <v>0.252413743113946</v>
      </c>
      <c r="L8" s="37" t="str">
        <f aca="false">IFERROR(('Situacion Financiera'!L6+'Situacion Financiera'!L7)/'Situacion Financiera'!L33,"")</f>
        <v/>
      </c>
      <c r="M8" s="37" t="str">
        <f aca="false">IFERROR(('Situacion Financiera'!M6+'Situacion Financiera'!M7)/'Situacion Financiera'!M33,"")</f>
        <v/>
      </c>
      <c r="N8" s="37" t="str">
        <f aca="false">IFERROR(('Situacion Financiera'!N6+'Situacion Financiera'!N7)/'Situacion Financiera'!N33,"")</f>
        <v/>
      </c>
      <c r="O8" s="37" t="str">
        <f aca="false">IFERROR(('Situacion Financiera'!O6+'Situacion Financiera'!O7)/'Situacion Financiera'!O33,"")</f>
        <v/>
      </c>
      <c r="P8" s="37" t="str">
        <f aca="false">IFERROR(('Situacion Financiera'!P6+'Situacion Financiera'!P7)/'Situacion Financiera'!P33,"")</f>
        <v/>
      </c>
      <c r="Q8" s="37" t="str">
        <f aca="false">IFERROR(('Situacion Financiera'!Q6+'Situacion Financiera'!Q7)/'Situacion Financiera'!Q33,"")</f>
        <v/>
      </c>
    </row>
    <row r="10" customFormat="false" ht="15" hidden="false" customHeight="false" outlineLevel="0" collapsed="false">
      <c r="B10" s="5" t="s">
        <v>271</v>
      </c>
      <c r="C10" s="5"/>
      <c r="D10" s="5"/>
      <c r="E10" s="5"/>
      <c r="F10" s="5"/>
      <c r="G10" s="5"/>
      <c r="H10" s="5"/>
      <c r="I10" s="5"/>
      <c r="J10" s="5"/>
      <c r="K10" s="5"/>
      <c r="L10" s="5"/>
      <c r="M10" s="5"/>
      <c r="N10" s="5"/>
      <c r="O10" s="5"/>
      <c r="P10" s="5"/>
      <c r="Q10" s="5"/>
    </row>
    <row r="11" customFormat="false" ht="15" hidden="false" customHeight="false" outlineLevel="0" collapsed="false">
      <c r="B11" s="14" t="s">
        <v>272</v>
      </c>
      <c r="C11" s="15" t="n">
        <f aca="false">'Situacion Financiera'!C25+'Situacion Financiera'!C36</f>
        <v>334972</v>
      </c>
      <c r="D11" s="15" t="n">
        <f aca="false">'Situacion Financiera'!D25+'Situacion Financiera'!D36</f>
        <v>316336</v>
      </c>
      <c r="E11" s="15" t="n">
        <f aca="false">'Situacion Financiera'!E25+'Situacion Financiera'!E36</f>
        <v>376314</v>
      </c>
      <c r="F11" s="15" t="n">
        <f aca="false">'Situacion Financiera'!F25+'Situacion Financiera'!F36</f>
        <v>387884</v>
      </c>
      <c r="G11" s="15" t="n">
        <f aca="false">'Situacion Financiera'!G25+'Situacion Financiera'!G36</f>
        <v>412020</v>
      </c>
      <c r="H11" s="15" t="n">
        <f aca="false">'Situacion Financiera'!H25+'Situacion Financiera'!H36</f>
        <v>424414</v>
      </c>
      <c r="I11" s="15" t="n">
        <f aca="false">'Situacion Financiera'!I25+'Situacion Financiera'!I36</f>
        <v>467647</v>
      </c>
      <c r="J11" s="15" t="n">
        <f aca="false">'Situacion Financiera'!J25+'Situacion Financiera'!J36</f>
        <v>472610</v>
      </c>
      <c r="K11" s="15" t="n">
        <f aca="false">'Situacion Financiera'!K25+'Situacion Financiera'!K36</f>
        <v>504394</v>
      </c>
      <c r="L11" s="15" t="n">
        <f aca="false">'Situacion Financiera'!L25+'Situacion Financiera'!L36</f>
        <v>0</v>
      </c>
      <c r="M11" s="15" t="n">
        <f aca="false">'Situacion Financiera'!M25+'Situacion Financiera'!M36</f>
        <v>0</v>
      </c>
      <c r="N11" s="15" t="n">
        <f aca="false">'Situacion Financiera'!N25+'Situacion Financiera'!N36</f>
        <v>0</v>
      </c>
      <c r="O11" s="15" t="n">
        <f aca="false">'Situacion Financiera'!O25+'Situacion Financiera'!O36</f>
        <v>0</v>
      </c>
      <c r="P11" s="15" t="n">
        <f aca="false">'Situacion Financiera'!P25+'Situacion Financiera'!P36</f>
        <v>0</v>
      </c>
      <c r="Q11" s="15" t="n">
        <f aca="false">'Situacion Financiera'!Q25+'Situacion Financiera'!Q36</f>
        <v>0</v>
      </c>
    </row>
    <row r="12" customFormat="false" ht="15" hidden="false" customHeight="false" outlineLevel="0" collapsed="false">
      <c r="B12" s="11" t="s">
        <v>273</v>
      </c>
      <c r="C12" s="32" t="n">
        <f aca="false">C11-'Situacion Financiera'!C6</f>
        <v>316484</v>
      </c>
      <c r="D12" s="32" t="n">
        <f aca="false">D11-'Situacion Financiera'!D6</f>
        <v>300177</v>
      </c>
      <c r="E12" s="32" t="n">
        <f aca="false">E11-'Situacion Financiera'!E6</f>
        <v>366182</v>
      </c>
      <c r="F12" s="32" t="n">
        <f aca="false">F11-'Situacion Financiera'!F6</f>
        <v>374480</v>
      </c>
      <c r="G12" s="32" t="n">
        <f aca="false">G11-'Situacion Financiera'!G6</f>
        <v>382828</v>
      </c>
      <c r="H12" s="32" t="n">
        <f aca="false">H11-'Situacion Financiera'!H6</f>
        <v>404694</v>
      </c>
      <c r="I12" s="32" t="n">
        <f aca="false">I11-'Situacion Financiera'!I6</f>
        <v>442137</v>
      </c>
      <c r="J12" s="32" t="n">
        <f aca="false">J11-'Situacion Financiera'!J6</f>
        <v>454397</v>
      </c>
      <c r="K12" s="32" t="n">
        <f aca="false">K11-'Situacion Financiera'!K6</f>
        <v>484130</v>
      </c>
      <c r="L12" s="32" t="n">
        <f aca="false">L11-'Situacion Financiera'!L6</f>
        <v>0</v>
      </c>
      <c r="M12" s="32" t="n">
        <f aca="false">M11-'Situacion Financiera'!M6</f>
        <v>0</v>
      </c>
      <c r="N12" s="32" t="n">
        <f aca="false">N11-'Situacion Financiera'!N6</f>
        <v>0</v>
      </c>
      <c r="O12" s="32" t="n">
        <f aca="false">O11-'Situacion Financiera'!O6</f>
        <v>0</v>
      </c>
      <c r="P12" s="32" t="n">
        <f aca="false">P11-'Situacion Financiera'!P6</f>
        <v>0</v>
      </c>
      <c r="Q12" s="32" t="n">
        <f aca="false">Q11-'Situacion Financiera'!Q6</f>
        <v>0</v>
      </c>
    </row>
    <row r="13" customFormat="false" ht="15" hidden="false" customHeight="false" outlineLevel="0" collapsed="false">
      <c r="B13" s="14" t="s">
        <v>274</v>
      </c>
      <c r="C13" s="15" t="n">
        <f aca="false">Resultados!C24</f>
        <v>147638</v>
      </c>
      <c r="D13" s="15" t="n">
        <f aca="false">Resultados!D24</f>
        <v>156268</v>
      </c>
      <c r="E13" s="15" t="n">
        <f aca="false">Resultados!E24</f>
        <v>168687</v>
      </c>
      <c r="F13" s="15" t="n">
        <f aca="false">IF(OR(Trimestres!D20="",Trimestres!E20="",Trimestres!F20="",Trimestres!G20=""),"",Trimestres!D20+Trimestres!E20+Trimestres!F20+Trimestres!G20)</f>
        <v>171554</v>
      </c>
      <c r="G13" s="15" t="n">
        <f aca="false">IF(OR(Trimestres!E20="",Trimestres!F20="",Trimestres!G20="",Trimestres!H20=""),"",Trimestres!E20+Trimestres!F20+Trimestres!G20+Trimestres!H20)</f>
        <v>172860</v>
      </c>
      <c r="H13" s="15" t="n">
        <f aca="false">IF(OR(Trimestres!F20="",Trimestres!G20="",Trimestres!H20="",Trimestres!I20=""),"",Trimestres!F20+Trimestres!G20+Trimestres!H20+Trimestres!I20)</f>
        <v>177251</v>
      </c>
      <c r="I13" s="15" t="n">
        <f aca="false">Resultados!I24</f>
        <v>171271</v>
      </c>
      <c r="J13" s="15" t="n">
        <f aca="false">IF(OR(Trimestres!H20="",Trimestres!I20="",Trimestres!J20="",Trimestres!K20=""),"",Trimestres!H20+Trimestres!I20+Trimestres!J20+Trimestres!K20)</f>
        <v>163663</v>
      </c>
      <c r="K13" s="15" t="n">
        <f aca="false">IF(OR(Trimestres!I20="",Trimestres!J20="",Trimestres!K20="",Trimestres!L20=""),"",Trimestres!I20+Trimestres!J20+Trimestres!K20+Trimestres!L20)</f>
        <v>162641</v>
      </c>
      <c r="L13" s="15" t="str">
        <f aca="false">IF(OR(Trimestres!J20="",Trimestres!K20="",Trimestres!L20="",Trimestres!M20=""),"",Trimestres!J20+Trimestres!K20+Trimestres!L20+Trimestres!M20)</f>
        <v/>
      </c>
      <c r="M13" s="15" t="n">
        <f aca="false">Resultados!M24</f>
        <v>0</v>
      </c>
      <c r="Q13" s="15" t="n">
        <f aca="false">Resultados!Q24</f>
        <v>0</v>
      </c>
    </row>
    <row r="14" customFormat="false" ht="15" hidden="false" customHeight="false" outlineLevel="0" collapsed="false">
      <c r="B14" s="19" t="s">
        <v>275</v>
      </c>
      <c r="C14" s="38" t="n">
        <f aca="false">IFERROR(C11/C13,"")</f>
        <v>2.26887386716157</v>
      </c>
      <c r="D14" s="38" t="n">
        <f aca="false">IFERROR(D11/D13,"")</f>
        <v>2.02431719865871</v>
      </c>
      <c r="E14" s="38" t="n">
        <f aca="false">IFERROR(E11/E13,"")</f>
        <v>2.2308417364705</v>
      </c>
      <c r="F14" s="38" t="n">
        <f aca="false">IFERROR(F11/F13,"")</f>
        <v>2.26100236660177</v>
      </c>
      <c r="G14" s="38" t="n">
        <f aca="false">IFERROR(G11/G13,"")</f>
        <v>2.38354737938216</v>
      </c>
      <c r="H14" s="38" t="n">
        <f aca="false">IFERROR(H11/H13,"")</f>
        <v>2.39442372680549</v>
      </c>
      <c r="I14" s="38" t="n">
        <f aca="false">IFERROR(I11/I13,"")</f>
        <v>2.73045057248454</v>
      </c>
      <c r="J14" s="38" t="n">
        <f aca="false">IFERROR(J11/J13,"")</f>
        <v>2.88770216848035</v>
      </c>
      <c r="K14" s="38" t="n">
        <f aca="false">IFERROR(K11/K13,"")</f>
        <v>3.10127212695446</v>
      </c>
      <c r="L14" s="38" t="str">
        <f aca="false">IFERROR(L11/L13,"")</f>
        <v/>
      </c>
      <c r="M14" s="38" t="str">
        <f aca="false">IFERROR(M11/M13,"")</f>
        <v/>
      </c>
      <c r="N14" s="38" t="str">
        <f aca="false">IFERROR(N11/N13,"")</f>
        <v/>
      </c>
      <c r="O14" s="38" t="str">
        <f aca="false">IFERROR(O11/O13,"")</f>
        <v/>
      </c>
      <c r="P14" s="38" t="str">
        <f aca="false">IFERROR(P11/P13,"")</f>
        <v/>
      </c>
      <c r="Q14" s="38" t="str">
        <f aca="false">IFERROR(Q11/Q13,"")</f>
        <v/>
      </c>
    </row>
    <row r="15" customFormat="false" ht="15" hidden="false" customHeight="false" outlineLevel="0" collapsed="false">
      <c r="B15" s="19" t="s">
        <v>276</v>
      </c>
      <c r="C15" s="38" t="n">
        <f aca="false">IFERROR(C12/C13,"")</f>
        <v>2.14364865414053</v>
      </c>
      <c r="D15" s="38" t="n">
        <f aca="false">IFERROR(D12/D13,"")</f>
        <v>1.92091151099393</v>
      </c>
      <c r="E15" s="38" t="n">
        <f aca="false">IFERROR(E12/E13,"")</f>
        <v>2.17077783113103</v>
      </c>
      <c r="F15" s="38" t="n">
        <f aca="false">IFERROR(F12/F13,"")</f>
        <v>2.18286953379111</v>
      </c>
      <c r="G15" s="38" t="n">
        <f aca="false">IFERROR(G12/G13,"")</f>
        <v>2.21467083188708</v>
      </c>
      <c r="H15" s="38" t="n">
        <f aca="false">IFERROR(H12/H13,"")</f>
        <v>2.28316906533673</v>
      </c>
      <c r="I15" s="38" t="n">
        <f aca="false">IFERROR(I12/I13,"")</f>
        <v>2.58150533365252</v>
      </c>
      <c r="J15" s="38" t="n">
        <f aca="false">IFERROR(J12/J13,"")</f>
        <v>2.77641861630301</v>
      </c>
      <c r="K15" s="38" t="n">
        <f aca="false">IFERROR(K12/K13,"")</f>
        <v>2.97667869725346</v>
      </c>
      <c r="L15" s="38" t="str">
        <f aca="false">IFERROR(L12/L13,"")</f>
        <v/>
      </c>
      <c r="M15" s="38" t="str">
        <f aca="false">IFERROR(M12/M13,"")</f>
        <v/>
      </c>
      <c r="N15" s="38" t="str">
        <f aca="false">IFERROR(N12/N13,"")</f>
        <v/>
      </c>
      <c r="O15" s="38" t="str">
        <f aca="false">IFERROR(O12/O13,"")</f>
        <v/>
      </c>
      <c r="P15" s="38" t="str">
        <f aca="false">IFERROR(P12/P13,"")</f>
        <v/>
      </c>
      <c r="Q15" s="38" t="str">
        <f aca="false">IFERROR(Q12/Q13,"")</f>
        <v/>
      </c>
    </row>
    <row r="16" customFormat="false" ht="15" hidden="false" customHeight="false" outlineLevel="0" collapsed="false">
      <c r="B16" s="21" t="s">
        <v>277</v>
      </c>
      <c r="C16" s="37" t="n">
        <f aca="false">IFERROR(C11/'Situacion Financiera'!C51,"")</f>
        <v>1.71424477367519</v>
      </c>
      <c r="D16" s="37" t="n">
        <f aca="false">IFERROR(D11/'Situacion Financiera'!D51,"")</f>
        <v>1.53430823329696</v>
      </c>
      <c r="E16" s="37" t="n">
        <f aca="false">IFERROR(E11/'Situacion Financiera'!E51,"")</f>
        <v>1.80338427476746</v>
      </c>
      <c r="F16" s="37" t="n">
        <f aca="false">IFERROR(F11/'Situacion Financiera'!F51,"")</f>
        <v>1.82412610926397</v>
      </c>
      <c r="G16" s="37" t="n">
        <f aca="false">IFERROR(G11/'Situacion Financiera'!G51,"")</f>
        <v>2.0177573617634</v>
      </c>
      <c r="H16" s="37" t="n">
        <f aca="false">IFERROR(H11/'Situacion Financiera'!H51,"")</f>
        <v>1.93589497979328</v>
      </c>
      <c r="I16" s="37" t="n">
        <f aca="false">IFERROR(I11/'Situacion Financiera'!I51,"")</f>
        <v>2.24982800840955</v>
      </c>
      <c r="J16" s="37" t="n">
        <f aca="false">IFERROR(J11/'Situacion Financiera'!J51,"")</f>
        <v>2.3364726239031</v>
      </c>
      <c r="K16" s="37" t="n">
        <f aca="false">IFERROR(K11/'Situacion Financiera'!K51,"")</f>
        <v>2.56824986252266</v>
      </c>
      <c r="L16" s="37" t="str">
        <f aca="false">IFERROR(L11/'Situacion Financiera'!L51,"")</f>
        <v/>
      </c>
      <c r="M16" s="37" t="str">
        <f aca="false">IFERROR(M11/'Situacion Financiera'!M51,"")</f>
        <v/>
      </c>
      <c r="N16" s="37" t="str">
        <f aca="false">IFERROR(N11/'Situacion Financiera'!N51,"")</f>
        <v/>
      </c>
      <c r="O16" s="37" t="str">
        <f aca="false">IFERROR(O11/'Situacion Financiera'!O51,"")</f>
        <v/>
      </c>
      <c r="P16" s="37" t="str">
        <f aca="false">IFERROR(P11/'Situacion Financiera'!P51,"")</f>
        <v/>
      </c>
      <c r="Q16" s="37" t="str">
        <f aca="false">IFERROR(Q11/'Situacion Financiera'!Q51,"")</f>
        <v/>
      </c>
    </row>
    <row r="17" customFormat="false" ht="15" hidden="false" customHeight="false" outlineLevel="0" collapsed="false">
      <c r="B17" s="21" t="s">
        <v>278</v>
      </c>
      <c r="C17" s="37" t="n">
        <f aca="false">IFERROR('Situacion Financiera'!C44/'Situacion Financiera'!C51,"")</f>
        <v>3.16482689798112</v>
      </c>
      <c r="D17" s="37" t="n">
        <f aca="false">IFERROR('Situacion Financiera'!D44/'Situacion Financiera'!D51,"")</f>
        <v>3.00639262762217</v>
      </c>
      <c r="E17" s="37" t="n">
        <f aca="false">IFERROR('Situacion Financiera'!E44/'Situacion Financiera'!E51,"")</f>
        <v>3.4387864149786</v>
      </c>
      <c r="F17" s="37" t="n">
        <f aca="false">IFERROR('Situacion Financiera'!F44/'Situacion Financiera'!F51,"")</f>
        <v>3.4009621850913</v>
      </c>
      <c r="G17" s="37" t="n">
        <f aca="false">IFERROR('Situacion Financiera'!G44/'Situacion Financiera'!G51,"")</f>
        <v>3.69538240032909</v>
      </c>
      <c r="H17" s="37" t="n">
        <f aca="false">IFERROR('Situacion Financiera'!H44/'Situacion Financiera'!H51,"")</f>
        <v>3.36957315015007</v>
      </c>
      <c r="I17" s="37" t="n">
        <f aca="false">IFERROR('Situacion Financiera'!I44/'Situacion Financiera'!I51,"")</f>
        <v>3.77488586012634</v>
      </c>
      <c r="J17" s="37" t="n">
        <f aca="false">IFERROR('Situacion Financiera'!J44/'Situacion Financiera'!J51,"")</f>
        <v>3.91079965393647</v>
      </c>
      <c r="K17" s="37" t="n">
        <f aca="false">IFERROR('Situacion Financiera'!K44/'Situacion Financiera'!K51,"")</f>
        <v>4.15770687794049</v>
      </c>
      <c r="L17" s="37" t="str">
        <f aca="false">IFERROR('Situacion Financiera'!L44/'Situacion Financiera'!L51,"")</f>
        <v/>
      </c>
      <c r="M17" s="37" t="str">
        <f aca="false">IFERROR('Situacion Financiera'!M44/'Situacion Financiera'!M51,"")</f>
        <v/>
      </c>
      <c r="N17" s="37" t="str">
        <f aca="false">IFERROR('Situacion Financiera'!N44/'Situacion Financiera'!N51,"")</f>
        <v/>
      </c>
      <c r="O17" s="37" t="str">
        <f aca="false">IFERROR('Situacion Financiera'!O44/'Situacion Financiera'!O51,"")</f>
        <v/>
      </c>
      <c r="P17" s="37" t="str">
        <f aca="false">IFERROR('Situacion Financiera'!P44/'Situacion Financiera'!P51,"")</f>
        <v/>
      </c>
      <c r="Q17" s="37" t="str">
        <f aca="false">IFERROR('Situacion Financiera'!Q44/'Situacion Financiera'!Q51,"")</f>
        <v/>
      </c>
    </row>
    <row r="18" customFormat="false" ht="15" hidden="false" customHeight="false" outlineLevel="0" collapsed="false">
      <c r="B18" s="21" t="s">
        <v>279</v>
      </c>
      <c r="C18" s="39" t="n">
        <f aca="false">IFERROR('Situacion Financiera'!C44/'Situacion Financiera'!C21,"")</f>
        <v>0.759893982512275</v>
      </c>
      <c r="D18" s="39" t="n">
        <f aca="false">IFERROR('Situacion Financiera'!D44/'Situacion Financiera'!D21,"")</f>
        <v>0.750398901718849</v>
      </c>
      <c r="E18" s="39" t="n">
        <f aca="false">IFERROR('Situacion Financiera'!E44/'Situacion Financiera'!E21,"")</f>
        <v>0.774713197142012</v>
      </c>
      <c r="F18" s="39" t="n">
        <f aca="false">IFERROR('Situacion Financiera'!F44/'Situacion Financiera'!F21,"")</f>
        <v>0.772776961504555</v>
      </c>
      <c r="G18" s="39" t="n">
        <f aca="false">IFERROR('Situacion Financiera'!G44/'Situacion Financiera'!G21,"")</f>
        <v>0.787024801232396</v>
      </c>
      <c r="H18" s="39" t="n">
        <f aca="false">IFERROR('Situacion Financiera'!H44/'Situacion Financiera'!H21,"")</f>
        <v>0.771144694083985</v>
      </c>
      <c r="I18" s="39" t="n">
        <f aca="false">IFERROR('Situacion Financiera'!I44/'Situacion Financiera'!I21,"")</f>
        <v>0.790570910113118</v>
      </c>
      <c r="J18" s="39" t="n">
        <f aca="false">IFERROR('Situacion Financiera'!J44/'Situacion Financiera'!J21,"")</f>
        <v>0.79636717633178</v>
      </c>
      <c r="K18" s="39" t="n">
        <f aca="false">IFERROR('Situacion Financiera'!K44/'Situacion Financiera'!K21,"")</f>
        <v>0.806115387387174</v>
      </c>
      <c r="L18" s="39" t="str">
        <f aca="false">IFERROR('Situacion Financiera'!L44/'Situacion Financiera'!L21,"")</f>
        <v/>
      </c>
      <c r="M18" s="39" t="str">
        <f aca="false">IFERROR('Situacion Financiera'!M44/'Situacion Financiera'!M21,"")</f>
        <v/>
      </c>
      <c r="N18" s="39" t="str">
        <f aca="false">IFERROR('Situacion Financiera'!N44/'Situacion Financiera'!N21,"")</f>
        <v/>
      </c>
      <c r="O18" s="39" t="str">
        <f aca="false">IFERROR('Situacion Financiera'!O44/'Situacion Financiera'!O21,"")</f>
        <v/>
      </c>
      <c r="P18" s="39" t="str">
        <f aca="false">IFERROR('Situacion Financiera'!P44/'Situacion Financiera'!P21,"")</f>
        <v/>
      </c>
      <c r="Q18" s="39" t="str">
        <f aca="false">IFERROR('Situacion Financiera'!Q44/'Situacion Financiera'!Q21,"")</f>
        <v/>
      </c>
    </row>
    <row r="20" customFormat="false" ht="15" hidden="false" customHeight="false" outlineLevel="0" collapsed="false">
      <c r="B20" s="5" t="s">
        <v>280</v>
      </c>
      <c r="C20" s="5"/>
      <c r="D20" s="5"/>
      <c r="E20" s="5"/>
      <c r="F20" s="5"/>
      <c r="G20" s="5"/>
      <c r="H20" s="5"/>
      <c r="I20" s="5"/>
      <c r="J20" s="5"/>
      <c r="K20" s="5"/>
      <c r="L20" s="5"/>
      <c r="M20" s="5"/>
      <c r="N20" s="5"/>
      <c r="O20" s="5"/>
      <c r="P20" s="5"/>
      <c r="Q20" s="5"/>
    </row>
    <row r="21" customFormat="false" ht="15" hidden="false" customHeight="false" outlineLevel="0" collapsed="false">
      <c r="B21" s="21" t="s">
        <v>281</v>
      </c>
      <c r="C21" s="37" t="n">
        <f aca="false">IFERROR(Resultados!C21/-Resultados!C28,"")</f>
        <v>3.67320409628538</v>
      </c>
      <c r="D21" s="37" t="n">
        <f aca="false">IFERROR(Resultados!D21/-Resultados!D28,"")</f>
        <v>3.87638451565105</v>
      </c>
      <c r="E21" s="37" t="n">
        <f aca="false">IFERROR(Resultados!E21/-Resultados!E28,"")</f>
        <v>3.97469677959013</v>
      </c>
      <c r="F21" s="37" t="n">
        <f aca="false">IFERROR(Resultados!F21/-Resultados!F28,"")</f>
        <v>5.02778607708396</v>
      </c>
      <c r="G21" s="37" t="n">
        <f aca="false">IFERROR(Resultados!G21/-Resultados!G28,"")</f>
        <v>4.02566262717906</v>
      </c>
      <c r="H21" s="37" t="n">
        <f aca="false">IFERROR(Resultados!H21/-Resultados!H28,"")</f>
        <v>3.85297806998573</v>
      </c>
      <c r="I21" s="37" t="n">
        <f aca="false">IFERROR(Resultados!I21/-Resultados!I28,"")</f>
        <v>3.50885914595284</v>
      </c>
      <c r="J21" s="37" t="n">
        <f aca="false">IFERROR(Resultados!J21/-Resultados!J28,"")</f>
        <v>3.29892500971377</v>
      </c>
      <c r="K21" s="37" t="n">
        <f aca="false">IFERROR(Resultados!K21/-Resultados!K28,"")</f>
        <v>3.36698561478878</v>
      </c>
      <c r="L21" s="37" t="str">
        <f aca="false">IFERROR(Resultados!L21/-Resultados!L28,"")</f>
        <v/>
      </c>
      <c r="M21" s="37" t="str">
        <f aca="false">IFERROR(Resultados!M21/-Resultados!M28,"")</f>
        <v/>
      </c>
      <c r="N21" s="37" t="str">
        <f aca="false">IFERROR(Resultados!N21/-Resultados!N28,"")</f>
        <v/>
      </c>
      <c r="O21" s="37" t="str">
        <f aca="false">IFERROR(Resultados!O21/-Resultados!O28,"")</f>
        <v/>
      </c>
      <c r="P21" s="37" t="str">
        <f aca="false">IFERROR(Resultados!P21/-Resultados!P28,"")</f>
        <v/>
      </c>
      <c r="Q21" s="37" t="str">
        <f aca="false">IFERROR(Resultados!Q21/-Resultados!Q28,"")</f>
        <v/>
      </c>
    </row>
    <row r="22" customFormat="false" ht="15" hidden="false" customHeight="false" outlineLevel="0" collapsed="false">
      <c r="B22" s="21" t="s">
        <v>282</v>
      </c>
      <c r="C22" s="37" t="n">
        <f aca="false">IFERROR(Resultados!C24/-Resultados!C28,"")</f>
        <v>5.5790348788875</v>
      </c>
      <c r="D22" s="37" t="n">
        <f aca="false">IFERROR(Resultados!D24/-Resultados!D28,"")</f>
        <v>5.78877569920356</v>
      </c>
      <c r="E22" s="37" t="n">
        <f aca="false">IFERROR(Resultados!E24/-Resultados!E28,"")</f>
        <v>5.87923462986198</v>
      </c>
      <c r="F22" s="37" t="n">
        <f aca="false">IFERROR(Resultados!F24/-Resultados!F28,"")</f>
        <v>7.26441589483119</v>
      </c>
      <c r="G22" s="37" t="n">
        <f aca="false">IFERROR(Resultados!G24/-Resultados!G28,"")</f>
        <v>5.96818093448254</v>
      </c>
      <c r="H22" s="37" t="n">
        <f aca="false">IFERROR(Resultados!H24/-Resultados!H28,"")</f>
        <v>5.81374626930231</v>
      </c>
      <c r="I22" s="37" t="n">
        <f aca="false">IFERROR(Resultados!I24/-Resultados!I28,"")</f>
        <v>5.45796685787126</v>
      </c>
      <c r="J22" s="37" t="n">
        <f aca="false">IFERROR(Resultados!J24/-Resultados!J28,"")</f>
        <v>5.31278331822303</v>
      </c>
      <c r="K22" s="37" t="n">
        <f aca="false">IFERROR(Resultados!K24/-Resultados!K28,"")</f>
        <v>5.43285816572284</v>
      </c>
      <c r="L22" s="37" t="str">
        <f aca="false">IFERROR(Resultados!L24/-Resultados!L28,"")</f>
        <v/>
      </c>
      <c r="M22" s="37" t="str">
        <f aca="false">IFERROR(Resultados!M24/-Resultados!M28,"")</f>
        <v/>
      </c>
      <c r="N22" s="37" t="str">
        <f aca="false">IFERROR(Resultados!N24/-Resultados!N28,"")</f>
        <v/>
      </c>
      <c r="O22" s="37" t="str">
        <f aca="false">IFERROR(Resultados!O24/-Resultados!O28,"")</f>
        <v/>
      </c>
      <c r="P22" s="37" t="str">
        <f aca="false">IFERROR(Resultados!P24/-Resultados!P28,"")</f>
        <v/>
      </c>
      <c r="Q22" s="37" t="str">
        <f aca="false">IFERROR(Resultados!Q24/-Resultados!Q28,"")</f>
        <v/>
      </c>
    </row>
    <row r="24" customFormat="false" ht="15" hidden="false" customHeight="false" outlineLevel="0" collapsed="false">
      <c r="B24" s="5" t="s">
        <v>283</v>
      </c>
      <c r="C24" s="5"/>
      <c r="D24" s="5"/>
      <c r="E24" s="5"/>
      <c r="F24" s="5"/>
      <c r="G24" s="5"/>
      <c r="H24" s="5"/>
      <c r="I24" s="5"/>
      <c r="J24" s="5"/>
      <c r="K24" s="5"/>
      <c r="L24" s="5"/>
      <c r="M24" s="5"/>
      <c r="N24" s="5"/>
      <c r="O24" s="5"/>
      <c r="P24" s="5"/>
      <c r="Q24" s="5"/>
    </row>
    <row r="25" customFormat="false" ht="15" hidden="false" customHeight="false" outlineLevel="0" collapsed="false">
      <c r="B25" s="21" t="s">
        <v>284</v>
      </c>
      <c r="C25" s="39" t="n">
        <f aca="false">IFERROR(Resultados!C12/Resultados!C8,"")</f>
        <v>0.338804256390419</v>
      </c>
      <c r="D25" s="39" t="n">
        <f aca="false">IFERROR(Resultados!D12/Resultados!D8,"")</f>
        <v>0.330957017344333</v>
      </c>
      <c r="E25" s="39" t="n">
        <f aca="false">IFERROR(Resultados!E12/Resultados!E8,"")</f>
        <v>0.322072905036256</v>
      </c>
      <c r="F25" s="39" t="n">
        <f aca="false">IFERROR(Resultados!F12/Resultados!F8,"")</f>
        <v>0.326883910386965</v>
      </c>
      <c r="G25" s="39" t="n">
        <f aca="false">IFERROR(Resultados!G12/Resultados!G8,"")</f>
        <v>0.328570082386517</v>
      </c>
      <c r="H25" s="39" t="n">
        <f aca="false">IFERROR(Resultados!H12/Resultados!H8,"")</f>
        <v>0.328426146337877</v>
      </c>
      <c r="I25" s="39" t="n">
        <f aca="false">IFERROR(Resultados!I12/Resultados!I8,"")</f>
        <v>0.314023745272359</v>
      </c>
      <c r="J25" s="39" t="n">
        <f aca="false">IFERROR(Resultados!J12/Resultados!J8,"")</f>
        <v>0.289811889239958</v>
      </c>
      <c r="K25" s="39" t="n">
        <f aca="false">IFERROR(Resultados!K12/Resultados!K8,"")</f>
        <v>0.290152791651112</v>
      </c>
      <c r="L25" s="39" t="str">
        <f aca="false">IFERROR(Resultados!L12/Resultados!L8,"")</f>
        <v/>
      </c>
      <c r="M25" s="39" t="str">
        <f aca="false">IFERROR(Resultados!M12/Resultados!M8,"")</f>
        <v/>
      </c>
      <c r="N25" s="39" t="str">
        <f aca="false">IFERROR(Resultados!N12/Resultados!N8,"")</f>
        <v/>
      </c>
      <c r="O25" s="39" t="str">
        <f aca="false">IFERROR(Resultados!O12/Resultados!O8,"")</f>
        <v/>
      </c>
      <c r="P25" s="39" t="str">
        <f aca="false">IFERROR(Resultados!P12/Resultados!P8,"")</f>
        <v/>
      </c>
      <c r="Q25" s="39" t="str">
        <f aca="false">IFERROR(Resultados!Q12/Resultados!Q8,"")</f>
        <v/>
      </c>
    </row>
    <row r="26" customFormat="false" ht="15" hidden="false" customHeight="false" outlineLevel="0" collapsed="false">
      <c r="B26" s="21" t="s">
        <v>285</v>
      </c>
      <c r="C26" s="39" t="n">
        <f aca="false">IFERROR(Resultados!C21/Resultados!C8,"")</f>
        <v>0.198950843561892</v>
      </c>
      <c r="D26" s="39" t="n">
        <f aca="false">IFERROR(Resultados!D21/Resultados!D8,"")</f>
        <v>0.193513489522943</v>
      </c>
      <c r="E26" s="39" t="n">
        <f aca="false">IFERROR(Resultados!E21/Resultados!E8,"")</f>
        <v>0.199890276115073</v>
      </c>
      <c r="F26" s="39" t="n">
        <f aca="false">IFERROR(Resultados!F21/Resultados!F8,"")</f>
        <v>0.218298805246021</v>
      </c>
      <c r="G26" s="39" t="n">
        <f aca="false">IFERROR(Resultados!G21/Resultados!G8,"")</f>
        <v>0.209062516827311</v>
      </c>
      <c r="H26" s="39" t="n">
        <f aca="false">IFERROR(Resultados!H21/Resultados!H8,"")</f>
        <v>0.204674963006535</v>
      </c>
      <c r="I26" s="39" t="n">
        <f aca="false">IFERROR(Resultados!I21/Resultados!I8,"")</f>
        <v>0.189377404668906</v>
      </c>
      <c r="J26" s="39" t="n">
        <f aca="false">IFERROR(Resultados!J21/Resultados!J8,"")</f>
        <v>0.169786292311589</v>
      </c>
      <c r="K26" s="39" t="n">
        <f aca="false">IFERROR(Resultados!K21/Resultados!K8,"")</f>
        <v>0.173969925975253</v>
      </c>
      <c r="L26" s="39" t="str">
        <f aca="false">IFERROR(Resultados!L21/Resultados!L8,"")</f>
        <v/>
      </c>
      <c r="M26" s="39" t="str">
        <f aca="false">IFERROR(Resultados!M21/Resultados!M8,"")</f>
        <v/>
      </c>
      <c r="N26" s="39" t="str">
        <f aca="false">IFERROR(Resultados!N21/Resultados!N8,"")</f>
        <v/>
      </c>
      <c r="O26" s="39" t="str">
        <f aca="false">IFERROR(Resultados!O21/Resultados!O8,"")</f>
        <v/>
      </c>
      <c r="P26" s="39" t="str">
        <f aca="false">IFERROR(Resultados!P21/Resultados!P8,"")</f>
        <v/>
      </c>
      <c r="Q26" s="39" t="str">
        <f aca="false">IFERROR(Resultados!Q21/Resultados!Q8,"")</f>
        <v/>
      </c>
    </row>
    <row r="27" customFormat="false" ht="15" hidden="false" customHeight="false" outlineLevel="0" collapsed="false">
      <c r="B27" s="21" t="s">
        <v>286</v>
      </c>
      <c r="C27" s="39" t="n">
        <f aca="false">IFERROR(Resultados!C24/Resultados!C8,"")</f>
        <v>0.302175884138417</v>
      </c>
      <c r="D27" s="39" t="n">
        <f aca="false">IFERROR(Resultados!D24/Resultados!D8,"")</f>
        <v>0.288982215540182</v>
      </c>
      <c r="E27" s="39" t="n">
        <f aca="false">IFERROR(Resultados!E24/Resultados!E8,"")</f>
        <v>0.295670814322998</v>
      </c>
      <c r="F27" s="39" t="n">
        <f aca="false">IFERROR(Resultados!F24/Resultados!F8,"")</f>
        <v>0.315409861584962</v>
      </c>
      <c r="G27" s="39" t="n">
        <f aca="false">IFERROR(Resultados!G24/Resultados!G8,"")</f>
        <v>0.309942248667277</v>
      </c>
      <c r="H27" s="39" t="n">
        <f aca="false">IFERROR(Resultados!H24/Resultados!H8,"")</f>
        <v>0.308833396137974</v>
      </c>
      <c r="I27" s="39" t="n">
        <f aca="false">IFERROR(Resultados!I24/Resultados!I8,"")</f>
        <v>0.294573123433794</v>
      </c>
      <c r="J27" s="39" t="n">
        <f aca="false">IFERROR(Resultados!J24/Resultados!J8,"")</f>
        <v>0.273433854604114</v>
      </c>
      <c r="K27" s="39" t="n">
        <f aca="false">IFERROR(Resultados!K24/Resultados!K8,"")</f>
        <v>0.280712198107845</v>
      </c>
      <c r="L27" s="39" t="str">
        <f aca="false">IFERROR(Resultados!L24/Resultados!L8,"")</f>
        <v/>
      </c>
      <c r="M27" s="39" t="str">
        <f aca="false">IFERROR(Resultados!M24/Resultados!M8,"")</f>
        <v/>
      </c>
      <c r="N27" s="39" t="str">
        <f aca="false">IFERROR(Resultados!N24/Resultados!N8,"")</f>
        <v/>
      </c>
      <c r="O27" s="39" t="str">
        <f aca="false">IFERROR(Resultados!O24/Resultados!O8,"")</f>
        <v/>
      </c>
      <c r="P27" s="39" t="str">
        <f aca="false">IFERROR(Resultados!P24/Resultados!P8,"")</f>
        <v/>
      </c>
      <c r="Q27" s="39" t="str">
        <f aca="false">IFERROR(Resultados!Q24/Resultados!Q8,"")</f>
        <v/>
      </c>
    </row>
    <row r="28" customFormat="false" ht="15" hidden="false" customHeight="false" outlineLevel="0" collapsed="false">
      <c r="B28" s="21" t="s">
        <v>287</v>
      </c>
      <c r="C28" s="39" t="n">
        <f aca="false">IFERROR(Resultados!C33/Resultados!C8,"")</f>
        <v>0.109782779998485</v>
      </c>
      <c r="D28" s="39" t="n">
        <f aca="false">IFERROR(Resultados!D33/Resultados!D8,"")</f>
        <v>0.106601350339249</v>
      </c>
      <c r="E28" s="39" t="n">
        <f aca="false">IFERROR(Resultados!E33/Resultados!E8,"")</f>
        <v>0.108072768319594</v>
      </c>
      <c r="F28" s="39" t="n">
        <f aca="false">IFERROR(Resultados!F33/Resultados!F8,"")</f>
        <v>0.13726049787902</v>
      </c>
      <c r="G28" s="39" t="n">
        <f aca="false">IFERROR(Resultados!G33/Resultados!G8,"")</f>
        <v>0.126938506273222</v>
      </c>
      <c r="H28" s="39" t="n">
        <f aca="false">IFERROR(Resultados!H33/Resultados!H8,"")</f>
        <v>0.121216786301848</v>
      </c>
      <c r="I28" s="39" t="n">
        <f aca="false">IFERROR(Resultados!I33/Resultados!I8,"")</f>
        <v>0.108972672125706</v>
      </c>
      <c r="J28" s="39" t="n">
        <f aca="false">IFERROR(Resultados!J33/Resultados!J8,"")</f>
        <v>0.071964697569625</v>
      </c>
      <c r="K28" s="39" t="n">
        <f aca="false">IFERROR(Resultados!K33/Resultados!K8,"")</f>
        <v>0.0838016634547797</v>
      </c>
      <c r="L28" s="39" t="str">
        <f aca="false">IFERROR(Resultados!L33/Resultados!L8,"")</f>
        <v/>
      </c>
      <c r="M28" s="39" t="str">
        <f aca="false">IFERROR(Resultados!M33/Resultados!M8,"")</f>
        <v/>
      </c>
      <c r="N28" s="39" t="str">
        <f aca="false">IFERROR(Resultados!N33/Resultados!N8,"")</f>
        <v/>
      </c>
      <c r="O28" s="39" t="str">
        <f aca="false">IFERROR(Resultados!O33/Resultados!O8,"")</f>
        <v/>
      </c>
      <c r="P28" s="39" t="str">
        <f aca="false">IFERROR(Resultados!P33/Resultados!P8,"")</f>
        <v/>
      </c>
      <c r="Q28" s="39" t="str">
        <f aca="false">IFERROR(Resultados!Q33/Resultados!Q8,"")</f>
        <v/>
      </c>
    </row>
    <row r="30" customFormat="false" ht="15" hidden="false" customHeight="false" outlineLevel="0" collapsed="false">
      <c r="B30" s="14" t="s">
        <v>288</v>
      </c>
      <c r="C30" s="15" t="n">
        <f aca="false">Resultados!C33</f>
        <v>53638</v>
      </c>
      <c r="D30" s="15" t="n">
        <f aca="false">Resultados!D33</f>
        <v>57645</v>
      </c>
      <c r="E30" s="15" t="n">
        <f aca="false">Resultados!E33</f>
        <v>61658</v>
      </c>
      <c r="F30" s="15" t="n">
        <f aca="false">IF(OR(Trimestres!D21="",Trimestres!E21="",Trimestres!F21="",Trimestres!G21=""),"",Trimestres!D21+Trimestres!E21+Trimestres!F21+Trimestres!G21)</f>
        <v>64573</v>
      </c>
      <c r="G30" s="15" t="n">
        <f aca="false">IF(OR(Trimestres!E21="",Trimestres!F21="",Trimestres!G21="",Trimestres!H21=""),"",Trimestres!E21+Trimestres!F21+Trimestres!G21+Trimestres!H21)</f>
        <v>66713</v>
      </c>
      <c r="H30" s="15" t="n">
        <f aca="false">IF(OR(Trimestres!F21="",Trimestres!G21="",Trimestres!H21="",Trimestres!I21=""),"",Trimestres!F21+Trimestres!G21+Trimestres!H21+Trimestres!I21)</f>
        <v>66764</v>
      </c>
      <c r="I30" s="15" t="n">
        <f aca="false">Resultados!I33</f>
        <v>63359</v>
      </c>
      <c r="J30" s="15" t="n">
        <f aca="false">IF(OR(Trimestres!H21="",Trimestres!I21="",Trimestres!J21="",Trimestres!K21=""),"",Trimestres!H21+Trimestres!I21+Trimestres!J21+Trimestres!K21)</f>
        <v>52993</v>
      </c>
      <c r="K30" s="15" t="n">
        <f aca="false">IF(OR(Trimestres!I21="",Trimestres!J21="",Trimestres!K21="",Trimestres!L21=""),"",Trimestres!I21+Trimestres!J21+Trimestres!K21+Trimestres!L21)</f>
        <v>50558</v>
      </c>
      <c r="L30" s="15" t="str">
        <f aca="false">IF(OR(Trimestres!J21="",Trimestres!K21="",Trimestres!L21="",Trimestres!M21=""),"",Trimestres!J21+Trimestres!K21+Trimestres!L21+Trimestres!M21)</f>
        <v/>
      </c>
      <c r="M30" s="15" t="n">
        <f aca="false">Resultados!M33</f>
        <v>0</v>
      </c>
      <c r="Q30" s="15" t="n">
        <f aca="false">Resultados!Q33</f>
        <v>0</v>
      </c>
    </row>
    <row r="31" customFormat="false" ht="15" hidden="false" customHeight="false" outlineLevel="0" collapsed="false">
      <c r="B31" s="21" t="s">
        <v>289</v>
      </c>
      <c r="C31" s="39" t="n">
        <f aca="false">IFERROR(C30/'Situacion Financiera'!C51,"")</f>
        <v>0.274496558429928</v>
      </c>
      <c r="D31" s="39" t="n">
        <f aca="false">IFERROR(D30/'Situacion Financiera'!D51,"")</f>
        <v>0.27959257911968</v>
      </c>
      <c r="E31" s="39" t="n">
        <f aca="false">IFERROR(E30/'Situacion Financiera'!E51,"")</f>
        <v>0.295479486847717</v>
      </c>
      <c r="F31" s="39" t="n">
        <f aca="false">IFERROR(F30/'Situacion Financiera'!F51,"")</f>
        <v>0.303671446240377</v>
      </c>
      <c r="G31" s="39" t="n">
        <f aca="false">IFERROR(G30/'Situacion Financiera'!G51,"")</f>
        <v>0.326709011395858</v>
      </c>
      <c r="H31" s="39" t="n">
        <f aca="false">IFERROR(H30/'Situacion Financiera'!H51,"")</f>
        <v>0.304533056004087</v>
      </c>
      <c r="I31" s="39" t="n">
        <f aca="false">IFERROR(I30/'Situacion Financiera'!I51,"")</f>
        <v>0.304817207818762</v>
      </c>
      <c r="J31" s="39" t="n">
        <f aca="false">IFERROR(J30/'Situacion Financiera'!J51,"")</f>
        <v>0.261984921517736</v>
      </c>
      <c r="K31" s="39" t="n">
        <f aca="false">IFERROR(K30/'Situacion Financiera'!K51,"")</f>
        <v>0.257428868205055</v>
      </c>
      <c r="L31" s="39" t="str">
        <f aca="false">IFERROR(L30/'Situacion Financiera'!L51,"")</f>
        <v/>
      </c>
      <c r="M31" s="39" t="str">
        <f aca="false">IFERROR(M30/'Situacion Financiera'!M51,"")</f>
        <v/>
      </c>
      <c r="N31" s="39" t="str">
        <f aca="false">IFERROR(N30/'Situacion Financiera'!N51,"")</f>
        <v/>
      </c>
      <c r="O31" s="39" t="str">
        <f aca="false">IFERROR(O30/'Situacion Financiera'!O51,"")</f>
        <v/>
      </c>
      <c r="P31" s="39" t="str">
        <f aca="false">IFERROR(P30/'Situacion Financiera'!P51,"")</f>
        <v/>
      </c>
      <c r="Q31" s="39" t="str">
        <f aca="false">IFERROR(Q30/'Situacion Financiera'!Q51,"")</f>
        <v/>
      </c>
    </row>
    <row r="32" customFormat="false" ht="15" hidden="false" customHeight="false" outlineLevel="0" collapsed="false">
      <c r="B32" s="21" t="s">
        <v>290</v>
      </c>
      <c r="C32" s="39" t="n">
        <f aca="false">IFERROR(C30/'Situacion Financiera'!C21,"")</f>
        <v>0.0659082754586964</v>
      </c>
      <c r="D32" s="39" t="n">
        <f aca="false">IFERROR(D30/'Situacion Financiera'!D21,"")</f>
        <v>0.0697866148195318</v>
      </c>
      <c r="E32" s="39" t="n">
        <f aca="false">IFERROR(E30/'Situacion Financiera'!E21,"")</f>
        <v>0.0665676289020411</v>
      </c>
      <c r="F32" s="39" t="n">
        <f aca="false">IFERROR(F30/'Situacion Financiera'!F21,"")</f>
        <v>0.0690011487190447</v>
      </c>
      <c r="G32" s="39" t="n">
        <f aca="false">IFERROR(G30/'Situacion Financiera'!G21,"")</f>
        <v>0.0695809166412004</v>
      </c>
      <c r="H32" s="39" t="n">
        <f aca="false">IFERROR(H30/'Situacion Financiera'!H21,"")</f>
        <v>0.0696940056933543</v>
      </c>
      <c r="I32" s="39" t="n">
        <f aca="false">IFERROR(I30/'Situacion Financiera'!I21,"")</f>
        <v>0.0638375904153438</v>
      </c>
      <c r="J32" s="39" t="n">
        <f aca="false">IFERROR(J30/'Situacion Financiera'!J21,"")</f>
        <v>0.0533487293271535</v>
      </c>
      <c r="K32" s="39" t="n">
        <f aca="false">IFERROR(K30/'Situacion Financiera'!K21,"")</f>
        <v>0.0499114963872954</v>
      </c>
      <c r="L32" s="39" t="str">
        <f aca="false">IFERROR(L30/'Situacion Financiera'!L21,"")</f>
        <v/>
      </c>
      <c r="M32" s="39" t="str">
        <f aca="false">IFERROR(M30/'Situacion Financiera'!M21,"")</f>
        <v/>
      </c>
      <c r="N32" s="39" t="str">
        <f aca="false">IFERROR(N30/'Situacion Financiera'!N21,"")</f>
        <v/>
      </c>
      <c r="O32" s="39" t="str">
        <f aca="false">IFERROR(O30/'Situacion Financiera'!O21,"")</f>
        <v/>
      </c>
      <c r="P32" s="39" t="str">
        <f aca="false">IFERROR(P30/'Situacion Financiera'!P21,"")</f>
        <v/>
      </c>
      <c r="Q32" s="39" t="str">
        <f aca="false">IFERROR(Q30/'Situacion Financiera'!Q21,"")</f>
        <v/>
      </c>
    </row>
  </sheetData>
  <mergeCells count="6">
    <mergeCell ref="B1:Q1"/>
    <mergeCell ref="B2:Q2"/>
    <mergeCell ref="B6:Q6"/>
    <mergeCell ref="B10:Q10"/>
    <mergeCell ref="B20:Q20"/>
    <mergeCell ref="B24:Q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2026-10-27T19:53:53Z</dcterms:created>
  <dc:creator>openpyxl</dc:creator>
  <dc:description/>
  <dc:language>en-US</dc:language>
  <cp:lastModifiedBy/>
  <dcterms:modified xsi:type="dcterms:W3CDTF">2026-10-27T19:53:53Z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